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ResearchHome\Groups\hangrp\home\kolesen\Parse single cell\"/>
    </mc:Choice>
  </mc:AlternateContent>
  <xr:revisionPtr revIDLastSave="0" documentId="8_{3E2997DD-0F6B-438B-AE94-0556A38BB974}" xr6:coauthVersionLast="47" xr6:coauthVersionMax="47" xr10:uidLastSave="{00000000-0000-0000-0000-000000000000}"/>
  <bookViews>
    <workbookView xWindow="28680" yWindow="-120" windowWidth="38640" windowHeight="21120" xr2:uid="{00000000-000D-0000-FFFF-FFFF00000000}"/>
  </bookViews>
  <sheets>
    <sheet name="Sample Loading Table" sheetId="1" r:id="rId1"/>
    <sheet name="Plate Configuration" sheetId="2" r:id="rId2"/>
    <sheet name="ReferenceTable" sheetId="8" state="hidden" r:id="rId3"/>
  </sheets>
  <definedNames>
    <definedName name="_xlnm._FilterDatabase" localSheetId="0" hidden="1">'Sample Loading Table'!$A$26:$A$78</definedName>
    <definedName name="_xlnm.Print_Area" localSheetId="0">'Sample Loading Table'!$A$1:$J$98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2" l="1"/>
  <c r="E9" i="2" s="1"/>
  <c r="F9" i="2" s="1"/>
  <c r="G9" i="2" s="1"/>
  <c r="H9" i="2" s="1"/>
  <c r="I9" i="2" s="1"/>
  <c r="J9" i="2" s="1"/>
  <c r="K9" i="2" s="1"/>
  <c r="L9" i="2" s="1"/>
  <c r="M9" i="2" s="1"/>
  <c r="N9" i="2" s="1"/>
  <c r="G1" i="8"/>
  <c r="C2" i="8"/>
  <c r="C3" i="8" s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A1" i="8" l="1"/>
  <c r="C26" i="8"/>
  <c r="D25" i="8"/>
  <c r="C27" i="8" l="1"/>
  <c r="D26" i="8"/>
  <c r="C28" i="8" l="1"/>
  <c r="D27" i="8"/>
  <c r="D28" i="8" l="1"/>
  <c r="C29" i="8"/>
  <c r="D29" i="8" l="1"/>
  <c r="C30" i="8"/>
  <c r="C31" i="8" l="1"/>
  <c r="D30" i="8"/>
  <c r="C32" i="8" l="1"/>
  <c r="D31" i="8"/>
  <c r="D32" i="8" l="1"/>
  <c r="C33" i="8"/>
  <c r="D33" i="8" l="1"/>
  <c r="C34" i="8"/>
  <c r="C35" i="8" l="1"/>
  <c r="D34" i="8"/>
  <c r="C36" i="8" l="1"/>
  <c r="D35" i="8"/>
  <c r="D36" i="8" l="1"/>
  <c r="C37" i="8"/>
  <c r="D37" i="8" l="1"/>
  <c r="C38" i="8"/>
  <c r="C39" i="8" l="1"/>
  <c r="D38" i="8"/>
  <c r="C40" i="8" l="1"/>
  <c r="D39" i="8"/>
  <c r="D40" i="8" l="1"/>
  <c r="C41" i="8"/>
  <c r="D41" i="8" l="1"/>
  <c r="C42" i="8"/>
  <c r="C43" i="8" l="1"/>
  <c r="D42" i="8"/>
  <c r="C44" i="8" l="1"/>
  <c r="D43" i="8"/>
  <c r="D44" i="8" l="1"/>
  <c r="C45" i="8"/>
  <c r="D45" i="8" l="1"/>
  <c r="C46" i="8"/>
  <c r="C47" i="8" l="1"/>
  <c r="D46" i="8"/>
  <c r="C48" i="8" l="1"/>
  <c r="D48" i="8" s="1"/>
  <c r="H1" i="8" s="1"/>
  <c r="D47" i="8"/>
  <c r="A28" i="1" l="1"/>
  <c r="E28" i="1" s="1"/>
  <c r="A29" i="1" l="1"/>
  <c r="E29" i="1" s="1"/>
  <c r="H25" i="2"/>
  <c r="H26" i="2"/>
  <c r="H27" i="2"/>
  <c r="E27" i="2" s="1"/>
  <c r="H28" i="2"/>
  <c r="H29" i="2"/>
  <c r="E29" i="2" s="1"/>
  <c r="H30" i="2"/>
  <c r="H31" i="2"/>
  <c r="E31" i="2" s="1"/>
  <c r="H32" i="2"/>
  <c r="E32" i="2" s="1"/>
  <c r="H33" i="2"/>
  <c r="H34" i="2"/>
  <c r="H35" i="2"/>
  <c r="H36" i="2"/>
  <c r="H37" i="2"/>
  <c r="E37" i="2" s="1"/>
  <c r="H38" i="2"/>
  <c r="H39" i="2"/>
  <c r="E39" i="2" s="1"/>
  <c r="H40" i="2"/>
  <c r="E40" i="2" s="1"/>
  <c r="H41" i="2"/>
  <c r="H42" i="2"/>
  <c r="H43" i="2"/>
  <c r="H44" i="2"/>
  <c r="H45" i="2"/>
  <c r="E45" i="2" s="1"/>
  <c r="H46" i="2"/>
  <c r="H47" i="2"/>
  <c r="E47" i="2" s="1"/>
  <c r="H48" i="2"/>
  <c r="E48" i="2" s="1"/>
  <c r="H49" i="2"/>
  <c r="H50" i="2"/>
  <c r="H51" i="2"/>
  <c r="H52" i="2"/>
  <c r="H53" i="2"/>
  <c r="E53" i="2" s="1"/>
  <c r="H54" i="2"/>
  <c r="H55" i="2"/>
  <c r="E55" i="2" s="1"/>
  <c r="H56" i="2"/>
  <c r="E56" i="2" s="1"/>
  <c r="H57" i="2"/>
  <c r="H58" i="2"/>
  <c r="H59" i="2"/>
  <c r="H60" i="2"/>
  <c r="H61" i="2"/>
  <c r="E61" i="2" s="1"/>
  <c r="H62" i="2"/>
  <c r="H63" i="2"/>
  <c r="E63" i="2" s="1"/>
  <c r="H64" i="2"/>
  <c r="E64" i="2" s="1"/>
  <c r="H65" i="2"/>
  <c r="H66" i="2"/>
  <c r="H67" i="2"/>
  <c r="H68" i="2"/>
  <c r="H69" i="2"/>
  <c r="E69" i="2" s="1"/>
  <c r="H70" i="2"/>
  <c r="H71" i="2"/>
  <c r="E71" i="2" s="1"/>
  <c r="H24" i="2"/>
  <c r="E24" i="2" s="1"/>
  <c r="A30" i="1" l="1"/>
  <c r="E30" i="1" s="1"/>
  <c r="E68" i="2"/>
  <c r="E36" i="2"/>
  <c r="E35" i="2"/>
  <c r="E28" i="2"/>
  <c r="E62" i="2"/>
  <c r="E59" i="2"/>
  <c r="E54" i="2"/>
  <c r="E46" i="2"/>
  <c r="E30" i="2"/>
  <c r="E52" i="2"/>
  <c r="E70" i="2"/>
  <c r="E51" i="2"/>
  <c r="E67" i="2"/>
  <c r="E44" i="2"/>
  <c r="E43" i="2"/>
  <c r="E60" i="2"/>
  <c r="E38" i="2"/>
  <c r="C24" i="2"/>
  <c r="E66" i="2"/>
  <c r="E58" i="2"/>
  <c r="E50" i="2"/>
  <c r="E42" i="2"/>
  <c r="E34" i="2"/>
  <c r="E26" i="2"/>
  <c r="E65" i="2"/>
  <c r="E57" i="2"/>
  <c r="E49" i="2"/>
  <c r="E41" i="2"/>
  <c r="E33" i="2"/>
  <c r="E25" i="2"/>
  <c r="C77" i="1"/>
  <c r="F23" i="1" l="1"/>
  <c r="F24" i="1"/>
  <c r="A31" i="1"/>
  <c r="E31" i="1" s="1"/>
  <c r="H31" i="1" s="1"/>
  <c r="H30" i="1"/>
  <c r="H29" i="1"/>
  <c r="C78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Q10" i="2"/>
  <c r="C10" i="2" s="1"/>
  <c r="P11" i="2"/>
  <c r="P12" i="2" s="1"/>
  <c r="P13" i="2" s="1"/>
  <c r="P14" i="2" s="1"/>
  <c r="P15" i="2" s="1"/>
  <c r="P16" i="2" s="1"/>
  <c r="P17" i="2" s="1"/>
  <c r="P18" i="2" s="1"/>
  <c r="P19" i="2" s="1"/>
  <c r="P20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C20" i="2" l="1"/>
  <c r="S10" i="2"/>
  <c r="H28" i="1"/>
  <c r="C25" i="2"/>
  <c r="G31" i="1"/>
  <c r="I31" i="1" s="1"/>
  <c r="J31" i="1" s="1"/>
  <c r="K31" i="1" s="1"/>
  <c r="G30" i="1"/>
  <c r="I30" i="1" s="1"/>
  <c r="J30" i="1" s="1"/>
  <c r="K30" i="1" s="1"/>
  <c r="G29" i="1"/>
  <c r="I29" i="1" s="1"/>
  <c r="J29" i="1" s="1"/>
  <c r="K29" i="1" s="1"/>
  <c r="G28" i="1"/>
  <c r="F77" i="1"/>
  <c r="C19" i="2"/>
  <c r="C21" i="2" s="1"/>
  <c r="I28" i="1" l="1"/>
  <c r="J28" i="1" s="1"/>
  <c r="K28" i="1" s="1"/>
  <c r="C26" i="2"/>
  <c r="C27" i="2" l="1"/>
  <c r="A32" i="1" l="1"/>
  <c r="E32" i="1" s="1"/>
  <c r="C28" i="2"/>
  <c r="H32" i="1" l="1"/>
  <c r="G32" i="1"/>
  <c r="A33" i="1"/>
  <c r="E33" i="1" s="1"/>
  <c r="C29" i="2"/>
  <c r="I32" i="1" l="1"/>
  <c r="J32" i="1" s="1"/>
  <c r="K32" i="1" s="1"/>
  <c r="H33" i="1"/>
  <c r="G33" i="1"/>
  <c r="A34" i="1"/>
  <c r="E34" i="1" s="1"/>
  <c r="C30" i="2"/>
  <c r="I33" i="1" l="1"/>
  <c r="J33" i="1" s="1"/>
  <c r="K33" i="1" s="1"/>
  <c r="H34" i="1"/>
  <c r="G34" i="1"/>
  <c r="A35" i="1"/>
  <c r="E35" i="1" s="1"/>
  <c r="C31" i="2"/>
  <c r="H35" i="1" l="1"/>
  <c r="G35" i="1"/>
  <c r="I34" i="1"/>
  <c r="J34" i="1" s="1"/>
  <c r="K34" i="1" s="1"/>
  <c r="A36" i="1"/>
  <c r="E36" i="1" s="1"/>
  <c r="C32" i="2"/>
  <c r="I35" i="1" l="1"/>
  <c r="J35" i="1" s="1"/>
  <c r="K35" i="1" s="1"/>
  <c r="H36" i="1"/>
  <c r="G36" i="1"/>
  <c r="A37" i="1"/>
  <c r="E37" i="1" s="1"/>
  <c r="C33" i="2"/>
  <c r="H37" i="1" l="1"/>
  <c r="G37" i="1"/>
  <c r="I36" i="1"/>
  <c r="J36" i="1" s="1"/>
  <c r="K36" i="1" s="1"/>
  <c r="A38" i="1"/>
  <c r="E38" i="1" s="1"/>
  <c r="C34" i="2"/>
  <c r="H38" i="1" l="1"/>
  <c r="G38" i="1"/>
  <c r="I37" i="1"/>
  <c r="J37" i="1" s="1"/>
  <c r="K37" i="1" s="1"/>
  <c r="A39" i="1"/>
  <c r="E39" i="1" s="1"/>
  <c r="C35" i="2"/>
  <c r="H39" i="1" l="1"/>
  <c r="G39" i="1"/>
  <c r="I38" i="1"/>
  <c r="J38" i="1" s="1"/>
  <c r="K38" i="1" s="1"/>
  <c r="A40" i="1"/>
  <c r="E40" i="1" s="1"/>
  <c r="C36" i="2"/>
  <c r="I39" i="1" l="1"/>
  <c r="J39" i="1" s="1"/>
  <c r="K39" i="1" s="1"/>
  <c r="H40" i="1"/>
  <c r="G40" i="1"/>
  <c r="A41" i="1"/>
  <c r="E41" i="1" s="1"/>
  <c r="C37" i="2"/>
  <c r="I40" i="1" l="1"/>
  <c r="J40" i="1" s="1"/>
  <c r="K40" i="1" s="1"/>
  <c r="C38" i="2"/>
  <c r="A42" i="1"/>
  <c r="E42" i="1" s="1"/>
  <c r="H42" i="1" l="1"/>
  <c r="G42" i="1"/>
  <c r="H41" i="1"/>
  <c r="G41" i="1"/>
  <c r="A43" i="1"/>
  <c r="E43" i="1" s="1"/>
  <c r="C39" i="2"/>
  <c r="I42" i="1" l="1"/>
  <c r="J42" i="1" s="1"/>
  <c r="K42" i="1" s="1"/>
  <c r="H43" i="1"/>
  <c r="G43" i="1"/>
  <c r="I41" i="1"/>
  <c r="J41" i="1" s="1"/>
  <c r="K41" i="1" s="1"/>
  <c r="A44" i="1"/>
  <c r="E44" i="1" s="1"/>
  <c r="C40" i="2"/>
  <c r="I43" i="1" l="1"/>
  <c r="J43" i="1" s="1"/>
  <c r="K43" i="1" s="1"/>
  <c r="H44" i="1"/>
  <c r="G44" i="1"/>
  <c r="A45" i="1"/>
  <c r="E45" i="1" s="1"/>
  <c r="C41" i="2"/>
  <c r="H45" i="1" l="1"/>
  <c r="G45" i="1"/>
  <c r="I44" i="1"/>
  <c r="J44" i="1" s="1"/>
  <c r="K44" i="1" s="1"/>
  <c r="A46" i="1"/>
  <c r="E46" i="1" s="1"/>
  <c r="C42" i="2"/>
  <c r="H46" i="1" l="1"/>
  <c r="G46" i="1"/>
  <c r="I45" i="1"/>
  <c r="J45" i="1" s="1"/>
  <c r="K45" i="1" s="1"/>
  <c r="A47" i="1"/>
  <c r="E47" i="1" s="1"/>
  <c r="C43" i="2"/>
  <c r="I46" i="1" l="1"/>
  <c r="J46" i="1" s="1"/>
  <c r="K46" i="1" s="1"/>
  <c r="H47" i="1"/>
  <c r="G47" i="1"/>
  <c r="A48" i="1"/>
  <c r="E48" i="1" s="1"/>
  <c r="C44" i="2"/>
  <c r="H48" i="1" l="1"/>
  <c r="G48" i="1"/>
  <c r="I47" i="1"/>
  <c r="J47" i="1" s="1"/>
  <c r="K47" i="1" s="1"/>
  <c r="A49" i="1"/>
  <c r="E49" i="1" s="1"/>
  <c r="C45" i="2"/>
  <c r="I48" i="1" l="1"/>
  <c r="J48" i="1" s="1"/>
  <c r="K48" i="1" s="1"/>
  <c r="H49" i="1"/>
  <c r="G49" i="1"/>
  <c r="A50" i="1"/>
  <c r="E50" i="1" s="1"/>
  <c r="C46" i="2"/>
  <c r="I49" i="1" l="1"/>
  <c r="J49" i="1" s="1"/>
  <c r="K49" i="1" s="1"/>
  <c r="H50" i="1"/>
  <c r="G50" i="1"/>
  <c r="A51" i="1"/>
  <c r="E51" i="1" s="1"/>
  <c r="C47" i="2"/>
  <c r="I50" i="1" l="1"/>
  <c r="J50" i="1" s="1"/>
  <c r="K50" i="1" s="1"/>
  <c r="H51" i="1"/>
  <c r="G51" i="1"/>
  <c r="A52" i="1"/>
  <c r="E52" i="1" s="1"/>
  <c r="C48" i="2"/>
  <c r="H52" i="1" l="1"/>
  <c r="G52" i="1"/>
  <c r="I51" i="1"/>
  <c r="J51" i="1" s="1"/>
  <c r="K51" i="1" s="1"/>
  <c r="A53" i="1"/>
  <c r="E53" i="1" s="1"/>
  <c r="C49" i="2"/>
  <c r="H53" i="1" l="1"/>
  <c r="G53" i="1"/>
  <c r="I52" i="1"/>
  <c r="J52" i="1" s="1"/>
  <c r="K52" i="1" s="1"/>
  <c r="A54" i="1"/>
  <c r="E54" i="1" s="1"/>
  <c r="C50" i="2"/>
  <c r="H54" i="1" l="1"/>
  <c r="G54" i="1"/>
  <c r="I53" i="1"/>
  <c r="J53" i="1" s="1"/>
  <c r="K53" i="1" s="1"/>
  <c r="A55" i="1"/>
  <c r="E55" i="1" s="1"/>
  <c r="C51" i="2"/>
  <c r="H55" i="1" l="1"/>
  <c r="G55" i="1"/>
  <c r="I54" i="1"/>
  <c r="J54" i="1" s="1"/>
  <c r="K54" i="1" s="1"/>
  <c r="A56" i="1"/>
  <c r="E56" i="1" s="1"/>
  <c r="C52" i="2"/>
  <c r="I55" i="1" l="1"/>
  <c r="J55" i="1" s="1"/>
  <c r="K55" i="1" s="1"/>
  <c r="H56" i="1"/>
  <c r="G56" i="1"/>
  <c r="A57" i="1"/>
  <c r="E57" i="1" s="1"/>
  <c r="C53" i="2"/>
  <c r="H57" i="1" l="1"/>
  <c r="G57" i="1"/>
  <c r="I56" i="1"/>
  <c r="J56" i="1" s="1"/>
  <c r="K56" i="1" s="1"/>
  <c r="A58" i="1"/>
  <c r="E58" i="1" s="1"/>
  <c r="C54" i="2"/>
  <c r="H58" i="1" l="1"/>
  <c r="G58" i="1"/>
  <c r="I57" i="1"/>
  <c r="J57" i="1" s="1"/>
  <c r="K57" i="1" s="1"/>
  <c r="A59" i="1"/>
  <c r="E59" i="1" s="1"/>
  <c r="C55" i="2"/>
  <c r="H59" i="1" l="1"/>
  <c r="G59" i="1"/>
  <c r="I58" i="1"/>
  <c r="J58" i="1" s="1"/>
  <c r="K58" i="1" s="1"/>
  <c r="A60" i="1"/>
  <c r="E60" i="1" s="1"/>
  <c r="C56" i="2"/>
  <c r="I59" i="1" l="1"/>
  <c r="J59" i="1" s="1"/>
  <c r="K59" i="1" s="1"/>
  <c r="H60" i="1"/>
  <c r="G60" i="1"/>
  <c r="A61" i="1"/>
  <c r="E61" i="1" s="1"/>
  <c r="C57" i="2"/>
  <c r="H61" i="1" l="1"/>
  <c r="G61" i="1"/>
  <c r="I60" i="1"/>
  <c r="J60" i="1" s="1"/>
  <c r="K60" i="1" s="1"/>
  <c r="A62" i="1"/>
  <c r="E62" i="1" s="1"/>
  <c r="C58" i="2"/>
  <c r="H62" i="1" l="1"/>
  <c r="G62" i="1"/>
  <c r="I61" i="1"/>
  <c r="J61" i="1" s="1"/>
  <c r="K61" i="1" s="1"/>
  <c r="A63" i="1"/>
  <c r="E63" i="1" s="1"/>
  <c r="C59" i="2"/>
  <c r="H63" i="1" l="1"/>
  <c r="G63" i="1"/>
  <c r="I62" i="1"/>
  <c r="J62" i="1" s="1"/>
  <c r="K62" i="1" s="1"/>
  <c r="A64" i="1"/>
  <c r="E64" i="1" s="1"/>
  <c r="C60" i="2"/>
  <c r="H64" i="1" l="1"/>
  <c r="G64" i="1"/>
  <c r="I63" i="1"/>
  <c r="J63" i="1" s="1"/>
  <c r="K63" i="1" s="1"/>
  <c r="A65" i="1"/>
  <c r="E65" i="1" s="1"/>
  <c r="C61" i="2"/>
  <c r="H65" i="1" l="1"/>
  <c r="G65" i="1"/>
  <c r="I64" i="1"/>
  <c r="J64" i="1" s="1"/>
  <c r="K64" i="1" s="1"/>
  <c r="A66" i="1"/>
  <c r="E66" i="1" s="1"/>
  <c r="C62" i="2"/>
  <c r="I65" i="1" l="1"/>
  <c r="J65" i="1" s="1"/>
  <c r="K65" i="1" s="1"/>
  <c r="H66" i="1"/>
  <c r="G66" i="1"/>
  <c r="A67" i="1"/>
  <c r="E67" i="1" s="1"/>
  <c r="C63" i="2"/>
  <c r="I66" i="1" l="1"/>
  <c r="J66" i="1" s="1"/>
  <c r="K66" i="1" s="1"/>
  <c r="H67" i="1"/>
  <c r="G67" i="1"/>
  <c r="A68" i="1"/>
  <c r="E68" i="1" s="1"/>
  <c r="C64" i="2"/>
  <c r="H68" i="1" l="1"/>
  <c r="G68" i="1"/>
  <c r="I67" i="1"/>
  <c r="J67" i="1" s="1"/>
  <c r="K67" i="1" s="1"/>
  <c r="A69" i="1"/>
  <c r="E69" i="1" s="1"/>
  <c r="C65" i="2"/>
  <c r="H69" i="1" l="1"/>
  <c r="G69" i="1"/>
  <c r="I68" i="1"/>
  <c r="J68" i="1" s="1"/>
  <c r="K68" i="1" s="1"/>
  <c r="A70" i="1"/>
  <c r="E70" i="1" s="1"/>
  <c r="C66" i="2"/>
  <c r="I69" i="1" l="1"/>
  <c r="J69" i="1" s="1"/>
  <c r="K69" i="1" s="1"/>
  <c r="H70" i="1"/>
  <c r="G70" i="1"/>
  <c r="A71" i="1"/>
  <c r="E71" i="1" s="1"/>
  <c r="C67" i="2"/>
  <c r="H71" i="1" l="1"/>
  <c r="G71" i="1"/>
  <c r="I70" i="1"/>
  <c r="J70" i="1" s="1"/>
  <c r="K70" i="1" s="1"/>
  <c r="A72" i="1"/>
  <c r="E72" i="1" s="1"/>
  <c r="C68" i="2"/>
  <c r="H72" i="1" l="1"/>
  <c r="G72" i="1"/>
  <c r="I71" i="1"/>
  <c r="J71" i="1" s="1"/>
  <c r="K71" i="1" s="1"/>
  <c r="A73" i="1"/>
  <c r="E73" i="1" s="1"/>
  <c r="C69" i="2"/>
  <c r="H73" i="1" l="1"/>
  <c r="G73" i="1"/>
  <c r="I72" i="1"/>
  <c r="J72" i="1" s="1"/>
  <c r="K72" i="1" s="1"/>
  <c r="A74" i="1"/>
  <c r="E74" i="1" s="1"/>
  <c r="C70" i="2"/>
  <c r="C71" i="2" l="1"/>
  <c r="I73" i="1"/>
  <c r="J73" i="1" s="1"/>
  <c r="K73" i="1" s="1"/>
  <c r="H74" i="1" l="1"/>
  <c r="G74" i="1"/>
  <c r="E27" i="1"/>
  <c r="I74" i="1" l="1"/>
  <c r="J74" i="1" s="1"/>
  <c r="K74" i="1" s="1"/>
  <c r="G27" i="1"/>
  <c r="E77" i="1"/>
  <c r="R10" i="2"/>
  <c r="H27" i="1"/>
  <c r="I27" i="1" l="1"/>
  <c r="J27" i="1" s="1"/>
  <c r="K27" i="1" s="1"/>
  <c r="Q11" i="2"/>
  <c r="R11" i="2" s="1"/>
  <c r="D10" i="2" l="1"/>
  <c r="S11" i="2"/>
  <c r="Q12" i="2" s="1"/>
  <c r="E10" i="2" l="1"/>
  <c r="S12" i="2"/>
  <c r="R12" i="2"/>
  <c r="Q13" i="2" l="1"/>
  <c r="R13" i="2" s="1"/>
  <c r="S13" i="2" l="1"/>
  <c r="Q14" i="2" s="1"/>
  <c r="F10" i="2"/>
  <c r="S14" i="2" l="1"/>
  <c r="G10" i="2"/>
  <c r="R14" i="2"/>
  <c r="Q15" i="2" l="1"/>
  <c r="R15" i="2" s="1"/>
  <c r="H10" i="2" l="1"/>
  <c r="S15" i="2"/>
  <c r="Q16" i="2" s="1"/>
  <c r="R16" i="2" l="1"/>
  <c r="S16" i="2"/>
  <c r="I10" i="2"/>
  <c r="Q17" i="2" l="1"/>
  <c r="R17" i="2" s="1"/>
  <c r="S17" i="2" l="1"/>
  <c r="Q18" i="2" s="1"/>
  <c r="J10" i="2"/>
  <c r="R18" i="2" l="1"/>
  <c r="K10" i="2"/>
  <c r="S18" i="2"/>
  <c r="Q19" i="2" l="1"/>
  <c r="R19" i="2" l="1"/>
  <c r="S19" i="2"/>
  <c r="L10" i="2"/>
  <c r="Q20" i="2" l="1"/>
  <c r="R20" i="2" l="1"/>
  <c r="S20" i="2"/>
  <c r="M10" i="2"/>
  <c r="Q23" i="2" l="1"/>
  <c r="S23" i="2" s="1"/>
  <c r="R23" i="2" l="1"/>
  <c r="Q24" i="2" s="1"/>
  <c r="R24" i="2" s="1"/>
  <c r="N10" i="2"/>
  <c r="C11" i="2" l="1"/>
  <c r="S24" i="2"/>
  <c r="Q25" i="2" s="1"/>
  <c r="D11" i="2" s="1"/>
  <c r="R25" i="2" l="1"/>
  <c r="S25" i="2"/>
  <c r="Q26" i="2" l="1"/>
  <c r="R26" i="2" s="1"/>
  <c r="E11" i="2" l="1"/>
  <c r="S26" i="2"/>
  <c r="Q27" i="2" s="1"/>
  <c r="F11" i="2" s="1"/>
  <c r="R27" i="2" l="1"/>
  <c r="S27" i="2"/>
  <c r="Q28" i="2" l="1"/>
  <c r="R28" i="2" s="1"/>
  <c r="G11" i="2" l="1"/>
  <c r="S28" i="2"/>
  <c r="Q29" i="2" s="1"/>
  <c r="R29" i="2" l="1"/>
  <c r="H11" i="2"/>
  <c r="S29" i="2"/>
  <c r="Q30" i="2" l="1"/>
  <c r="S30" i="2" s="1"/>
  <c r="R30" i="2" l="1"/>
  <c r="Q31" i="2" s="1"/>
  <c r="I11" i="2"/>
  <c r="R31" i="2" l="1"/>
  <c r="S31" i="2"/>
  <c r="J11" i="2"/>
  <c r="Q32" i="2" l="1"/>
  <c r="K11" i="2" s="1"/>
  <c r="R32" i="2" l="1"/>
  <c r="S32" i="2"/>
  <c r="Q33" i="2" l="1"/>
  <c r="R33" i="2" s="1"/>
  <c r="L11" i="2" l="1"/>
  <c r="S33" i="2"/>
  <c r="Q34" i="2" s="1"/>
  <c r="S34" i="2" s="1"/>
  <c r="M11" i="2" l="1"/>
  <c r="R34" i="2"/>
  <c r="Q35" i="2" s="1"/>
  <c r="N11" i="2" s="1"/>
  <c r="S35" i="2" l="1"/>
  <c r="R35" i="2"/>
  <c r="Q36" i="2" l="1"/>
  <c r="C12" i="2" s="1"/>
  <c r="S36" i="2" l="1"/>
  <c r="R36" i="2"/>
  <c r="Q37" i="2" l="1"/>
  <c r="S37" i="2" s="1"/>
  <c r="R37" i="2" l="1"/>
  <c r="Q38" i="2" s="1"/>
  <c r="D12" i="2"/>
  <c r="S38" i="2" l="1"/>
  <c r="E12" i="2"/>
  <c r="R38" i="2"/>
  <c r="Q39" i="2" l="1"/>
  <c r="R39" i="2" s="1"/>
  <c r="F12" i="2" l="1"/>
  <c r="S39" i="2"/>
  <c r="Q40" i="2" s="1"/>
  <c r="S40" i="2" l="1"/>
  <c r="G12" i="2"/>
  <c r="R40" i="2"/>
  <c r="Q41" i="2" l="1"/>
  <c r="S41" i="2" s="1"/>
  <c r="R41" i="2" l="1"/>
  <c r="Q42" i="2" s="1"/>
  <c r="S42" i="2" s="1"/>
  <c r="H12" i="2"/>
  <c r="R42" i="2" l="1"/>
  <c r="I12" i="2"/>
  <c r="Q43" i="2" l="1"/>
  <c r="J12" i="2" s="1"/>
  <c r="S43" i="2" l="1"/>
  <c r="R43" i="2"/>
  <c r="Q44" i="2" l="1"/>
  <c r="S44" i="2" s="1"/>
  <c r="R44" i="2" l="1"/>
  <c r="Q45" i="2" s="1"/>
  <c r="K12" i="2"/>
  <c r="L12" i="2" l="1"/>
  <c r="S45" i="2"/>
  <c r="R45" i="2"/>
  <c r="Q46" i="2" l="1"/>
  <c r="R46" i="2" s="1"/>
  <c r="M12" i="2" l="1"/>
  <c r="S46" i="2"/>
  <c r="Q47" i="2" s="1"/>
  <c r="N12" i="2" s="1"/>
  <c r="R47" i="2" l="1"/>
  <c r="S47" i="2"/>
  <c r="Q48" i="2" l="1"/>
  <c r="C13" i="2" s="1"/>
  <c r="R48" i="2" l="1"/>
  <c r="S48" i="2"/>
  <c r="Q49" i="2" l="1"/>
  <c r="S49" i="2" s="1"/>
  <c r="R49" i="2" l="1"/>
  <c r="Q50" i="2" s="1"/>
  <c r="E13" i="2" s="1"/>
  <c r="D13" i="2"/>
  <c r="R50" i="2" l="1"/>
  <c r="S50" i="2"/>
  <c r="Q51" i="2" l="1"/>
  <c r="S51" i="2" s="1"/>
  <c r="R51" i="2" l="1"/>
  <c r="Q52" i="2" s="1"/>
  <c r="G13" i="2" s="1"/>
  <c r="F13" i="2"/>
  <c r="S52" i="2" l="1"/>
  <c r="R52" i="2"/>
  <c r="Q53" i="2" l="1"/>
  <c r="S53" i="2" s="1"/>
  <c r="R53" i="2" l="1"/>
  <c r="Q54" i="2" s="1"/>
  <c r="S54" i="2" s="1"/>
  <c r="H13" i="2"/>
  <c r="R54" i="2" l="1"/>
  <c r="Q55" i="2" s="1"/>
  <c r="I13" i="2"/>
  <c r="J13" i="2" l="1"/>
  <c r="S55" i="2"/>
  <c r="R55" i="2"/>
  <c r="Q56" i="2" l="1"/>
  <c r="R56" i="2" s="1"/>
  <c r="K13" i="2" l="1"/>
  <c r="S56" i="2"/>
  <c r="Q57" i="2" s="1"/>
  <c r="S57" i="2" s="1"/>
  <c r="L13" i="2" l="1"/>
  <c r="R57" i="2"/>
  <c r="Q58" i="2" s="1"/>
  <c r="S58" i="2" l="1"/>
  <c r="M13" i="2"/>
  <c r="R58" i="2"/>
  <c r="Q59" i="2" l="1"/>
  <c r="R59" i="2" s="1"/>
  <c r="S59" i="2" l="1"/>
  <c r="N13" i="2"/>
</calcChain>
</file>

<file path=xl/sharedStrings.xml><?xml version="1.0" encoding="utf-8"?>
<sst xmlns="http://schemas.openxmlformats.org/spreadsheetml/2006/main" count="47" uniqueCount="45">
  <si>
    <t>Sample Number</t>
  </si>
  <si>
    <t>A</t>
  </si>
  <si>
    <t>B</t>
  </si>
  <si>
    <t>C</t>
  </si>
  <si>
    <t>D</t>
  </si>
  <si>
    <t>Well Number</t>
  </si>
  <si>
    <t>number of times sample called</t>
  </si>
  <si>
    <t># wells</t>
  </si>
  <si>
    <t>E</t>
  </si>
  <si>
    <t>F</t>
  </si>
  <si>
    <t>G</t>
  </si>
  <si>
    <t>H</t>
  </si>
  <si>
    <t>Sample Name</t>
  </si>
  <si>
    <t>Sample #</t>
  </si>
  <si>
    <t>Percent Contributing</t>
  </si>
  <si>
    <t>TOTALS:</t>
  </si>
  <si>
    <t>Evercode WT Sample Loading Table</t>
  </si>
  <si>
    <t>This sheet should be filled out prior to starting Section 1.</t>
  </si>
  <si>
    <t>Step</t>
  </si>
  <si>
    <t>Instructions</t>
  </si>
  <si>
    <t>Ensure Macros are enabled.</t>
  </si>
  <si>
    <t>Input the number of samples.</t>
  </si>
  <si>
    <r>
      <t xml:space="preserve">Input the target number of barcoded cells. </t>
    </r>
    <r>
      <rPr>
        <sz val="12"/>
        <color rgb="FF550088"/>
        <rFont val="M PLUS 2"/>
      </rPr>
      <t>Note:</t>
    </r>
    <r>
      <rPr>
        <sz val="12"/>
        <color rgb="FF525252"/>
        <rFont val="M PLUS 2"/>
      </rPr>
      <t xml:space="preserve"> The default is 100,000 cells for Evercode WT.</t>
    </r>
  </si>
  <si>
    <t>Input your sample names.</t>
  </si>
  <si>
    <r>
      <t xml:space="preserve">Input the target percentage representation of each sample in the final library. </t>
    </r>
    <r>
      <rPr>
        <sz val="12"/>
        <color rgb="FFB6007C"/>
        <rFont val="M PLUS 2"/>
      </rPr>
      <t>CRITICAL:</t>
    </r>
    <r>
      <rPr>
        <sz val="12"/>
        <color rgb="FF525252"/>
        <rFont val="M PLUS 2"/>
      </rPr>
      <t xml:space="preserve"> No percentage can be lower than 2.09%.</t>
    </r>
  </si>
  <si>
    <t>Input stock cell concentration for each sample.</t>
  </si>
  <si>
    <r>
      <t xml:space="preserve">Prepare the dilutions as described. </t>
    </r>
    <r>
      <rPr>
        <sz val="12"/>
        <color rgb="FFB6007C"/>
        <rFont val="M PLUS 2"/>
      </rPr>
      <t>CRITICAL:</t>
    </r>
    <r>
      <rPr>
        <sz val="12"/>
        <color rgb="FF550088"/>
        <rFont val="M PLUS 2"/>
      </rPr>
      <t xml:space="preserve"> </t>
    </r>
    <r>
      <rPr>
        <sz val="12"/>
        <color rgb="FF525252"/>
        <rFont val="M PLUS 2"/>
      </rPr>
      <t>Ensure that Sample Dilution Buffer is completely thawed before use.</t>
    </r>
  </si>
  <si>
    <r>
      <t xml:space="preserve">Open the "Plate Configuration" sheet. With the plate on ice, add 14 uL of each diluted sample to the appropriate well(s) of the Round 1 Plate as shown in the plate map. </t>
    </r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Follow the instructions in the User Guide with respect to sample mixing and changing tips.</t>
    </r>
  </si>
  <si>
    <r>
      <t xml:space="preserve">Sample Name                                                           </t>
    </r>
    <r>
      <rPr>
        <b/>
        <sz val="12"/>
        <color rgb="FF550088"/>
        <rFont val="M PLUS 2"/>
      </rPr>
      <t>(Step 4)</t>
    </r>
  </si>
  <si>
    <r>
      <t xml:space="preserve">Percent of Library         </t>
    </r>
    <r>
      <rPr>
        <b/>
        <sz val="12"/>
        <color rgb="FF550088"/>
        <rFont val="M PLUS 2"/>
      </rPr>
      <t>(Step 5)</t>
    </r>
  </si>
  <si>
    <r>
      <t xml:space="preserve">Stock Concentration (cells/uL)                          </t>
    </r>
    <r>
      <rPr>
        <b/>
        <sz val="12"/>
        <color rgb="FF550088"/>
        <rFont val="M PLUS 2"/>
      </rPr>
      <t>(Step 6)</t>
    </r>
  </si>
  <si>
    <t>Number of Wells</t>
  </si>
  <si>
    <t>Targeted Number of Barcoded Cells</t>
  </si>
  <si>
    <t>Required Sample Concentration  (cells/uL)</t>
  </si>
  <si>
    <r>
      <t>Volume of Sample Dilution Buffer (uL)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</si>
  <si>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r>
      <t>Number of Samples</t>
    </r>
    <r>
      <rPr>
        <b/>
        <sz val="12"/>
        <color rgb="FF550088"/>
        <rFont val="M PLUS 2"/>
      </rPr>
      <t xml:space="preserve"> (Step 2)</t>
    </r>
    <r>
      <rPr>
        <b/>
        <sz val="12"/>
        <color rgb="FF525252"/>
        <rFont val="M PLUS 2"/>
      </rPr>
      <t>:</t>
    </r>
  </si>
  <si>
    <r>
      <t xml:space="preserve">Target Number Barcoded Cells </t>
    </r>
    <r>
      <rPr>
        <b/>
        <sz val="12"/>
        <color rgb="FF550088"/>
        <rFont val="M PLUS 2"/>
      </rPr>
      <t>(Step 3)</t>
    </r>
    <r>
      <rPr>
        <b/>
        <sz val="12"/>
        <color rgb="FF525252"/>
        <rFont val="M PLUS 2"/>
      </rPr>
      <t>:</t>
    </r>
  </si>
  <si>
    <t>Notes:</t>
  </si>
  <si>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We do not recommend editing cells highlighted in grey.</t>
    </r>
  </si>
  <si>
    <t xml:space="preserve"> - For more details on using this Sample Loading Table, see the Important Guidelines section of the User Manual</t>
  </si>
  <si>
    <t xml:space="preserve">If not already done, count the samples as described in Section 1.1 of the Evercode WT User Manual. </t>
  </si>
  <si>
    <r>
      <t>Volume of Sample Stock Dilution (uL)            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</si>
  <si>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t>Evercode WT Round 1 Barcoding Plate Configuration</t>
  </si>
  <si>
    <t>Use the following plate layout to load samples into the Round 1 Plate in Section 1.2.</t>
  </si>
  <si>
    <t>Required Volume           + 10% overage (uL)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</si>
</sst>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Source Sans Pro"/>
      <family val="2"/>
    </font>
    <font>
      <b/>
      <sz val="12"/>
      <color rgb="FF525252"/>
      <name val="M PLUS 2"/>
    </font>
    <font>
      <sz val="12"/>
      <color rgb="FF525252"/>
      <name val="M PLUS 2"/>
    </font>
    <font>
      <sz val="12"/>
      <color theme="1"/>
      <name val="M PLUS 2"/>
    </font>
    <font>
      <sz val="12"/>
      <name val="M PLUS 2"/>
    </font>
    <font>
      <sz val="12"/>
      <color theme="0"/>
      <name val="M PLUS 2"/>
    </font>
    <font>
      <sz val="26"/>
      <color rgb="FF550088"/>
      <name val="M PLUS 2 Black"/>
    </font>
    <font>
      <sz val="14"/>
      <color rgb="FF525252"/>
      <name val="M PLUS 2"/>
    </font>
    <font>
      <b/>
      <sz val="14"/>
      <color rgb="FF525252"/>
      <name val="M PLUS 2"/>
    </font>
    <font>
      <b/>
      <sz val="16"/>
      <color rgb="FFAB80C4"/>
      <name val="M PLUS 2"/>
    </font>
    <font>
      <sz val="12"/>
      <color rgb="FF550088"/>
      <name val="M PLUS 2"/>
    </font>
    <font>
      <sz val="12"/>
      <color rgb="FFB6007C"/>
      <name val="M PLUS 2"/>
    </font>
    <font>
      <b/>
      <sz val="12"/>
      <color rgb="FF550088"/>
      <name val="M PLUS 2"/>
    </font>
    <font>
      <sz val="12"/>
      <color rgb="FF525252"/>
      <name val="M PLUS 2 Medium"/>
    </font>
    <font>
      <sz val="20"/>
      <color theme="1"/>
      <name val="M PLUS 2"/>
    </font>
    <font>
      <sz val="12"/>
      <color rgb="FF525252"/>
      <name val="M PLUS 2 ExtraBold"/>
    </font>
    <font>
      <sz val="12"/>
      <color theme="1"/>
      <name val="M PLUS 2 Medium"/>
    </font>
    <font>
      <b/>
      <sz val="12"/>
      <color theme="1"/>
      <name val="M PLUS 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525252"/>
      </left>
      <right/>
      <top style="thin">
        <color rgb="FF525252"/>
      </top>
      <bottom/>
      <diagonal/>
    </border>
    <border>
      <left/>
      <right/>
      <top style="thin">
        <color rgb="FF525252"/>
      </top>
      <bottom/>
      <diagonal/>
    </border>
    <border>
      <left/>
      <right style="thin">
        <color rgb="FF525252"/>
      </right>
      <top style="thin">
        <color rgb="FF525252"/>
      </top>
      <bottom/>
      <diagonal/>
    </border>
    <border>
      <left style="thin">
        <color rgb="FF525252"/>
      </left>
      <right/>
      <top/>
      <bottom/>
      <diagonal/>
    </border>
    <border>
      <left/>
      <right style="thin">
        <color rgb="FF525252"/>
      </right>
      <top/>
      <bottom/>
      <diagonal/>
    </border>
    <border>
      <left style="thin">
        <color rgb="FF525252"/>
      </left>
      <right/>
      <top/>
      <bottom style="thin">
        <color rgb="FF525252"/>
      </bottom>
      <diagonal/>
    </border>
    <border>
      <left/>
      <right/>
      <top/>
      <bottom style="thin">
        <color rgb="FF525252"/>
      </bottom>
      <diagonal/>
    </border>
    <border>
      <left/>
      <right style="thin">
        <color rgb="FF525252"/>
      </right>
      <top/>
      <bottom style="thin">
        <color rgb="FF52525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2" borderId="10" xfId="0" applyFont="1" applyFill="1" applyBorder="1"/>
    <xf numFmtId="0" fontId="2" fillId="2" borderId="0" xfId="0" applyFont="1" applyFill="1"/>
    <xf numFmtId="0" fontId="2" fillId="2" borderId="7" xfId="0" applyFont="1" applyFill="1" applyBorder="1"/>
    <xf numFmtId="0" fontId="2" fillId="2" borderId="13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164" fontId="5" fillId="0" borderId="0" xfId="1" applyNumberFormat="1" applyFont="1" applyFill="1" applyBorder="1"/>
    <xf numFmtId="0" fontId="8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top"/>
    </xf>
    <xf numFmtId="0" fontId="10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/>
    <xf numFmtId="0" fontId="5" fillId="0" borderId="1" xfId="0" applyFont="1" applyBorder="1"/>
    <xf numFmtId="164" fontId="5" fillId="0" borderId="1" xfId="1" applyNumberFormat="1" applyFont="1" applyFill="1" applyBorder="1"/>
    <xf numFmtId="0" fontId="11" fillId="0" borderId="0" xfId="0" applyFont="1"/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9" fontId="3" fillId="0" borderId="0" xfId="2" applyFont="1" applyFill="1" applyAlignment="1">
      <alignment horizontal="center"/>
    </xf>
    <xf numFmtId="1" fontId="3" fillId="0" borderId="0" xfId="0" applyNumberFormat="1" applyFont="1"/>
    <xf numFmtId="164" fontId="3" fillId="0" borderId="0" xfId="1" applyNumberFormat="1" applyFont="1" applyFill="1" applyAlignment="1">
      <alignment horizontal="center"/>
    </xf>
    <xf numFmtId="10" fontId="3" fillId="0" borderId="0" xfId="2" applyNumberFormat="1" applyFont="1" applyFill="1" applyAlignment="1"/>
    <xf numFmtId="10" fontId="4" fillId="0" borderId="1" xfId="2" applyNumberFormat="1" applyFont="1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" fontId="4" fillId="3" borderId="1" xfId="0" applyNumberFormat="1" applyFont="1" applyFill="1" applyBorder="1" applyAlignment="1">
      <alignment horizontal="center"/>
    </xf>
    <xf numFmtId="0" fontId="8" fillId="0" borderId="0" xfId="0" applyFont="1"/>
    <xf numFmtId="0" fontId="16" fillId="0" borderId="0" xfId="0" applyFont="1"/>
    <xf numFmtId="0" fontId="11" fillId="0" borderId="0" xfId="0" applyFont="1" applyAlignment="1">
      <alignment vertical="center"/>
    </xf>
    <xf numFmtId="0" fontId="17" fillId="0" borderId="0" xfId="0" applyFont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3" xfId="0" applyFont="1" applyBorder="1" applyAlignment="1">
      <alignment horizontal="left"/>
    </xf>
    <xf numFmtId="0" fontId="10" fillId="0" borderId="1" xfId="0" applyFont="1" applyBorder="1" applyAlignment="1">
      <alignment horizontal="center"/>
    </xf>
    <xf numFmtId="0" fontId="4" fillId="0" borderId="1" xfId="0" applyFont="1" applyBorder="1"/>
    <xf numFmtId="0" fontId="7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10" fontId="5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9">
    <dxf>
      <font>
        <color theme="0"/>
      </font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color rgb="FF525252"/>
      </font>
      <fill>
        <patternFill patternType="solid">
          <bgColor rgb="FFF0CCE5"/>
        </patternFill>
      </fill>
    </dxf>
    <dxf>
      <font>
        <color theme="0"/>
      </font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525252"/>
      </font>
      <fill>
        <patternFill>
          <bgColor rgb="FFF0CCE5"/>
        </patternFill>
      </fill>
    </dxf>
    <dxf>
      <font>
        <b/>
        <i val="0"/>
        <color rgb="FFB6007C"/>
      </font>
      <fill>
        <patternFill patternType="none">
          <bgColor auto="1"/>
        </patternFill>
      </fill>
    </dxf>
    <dxf>
      <font>
        <color rgb="FF525252"/>
      </font>
      <fill>
        <patternFill>
          <bgColor rgb="FFF0CCE5"/>
        </patternFill>
      </fill>
    </dxf>
  </dxfs>
  <tableStyles count="0" defaultTableStyle="TableStyleMedium2" defaultPivotStyle="PivotStyleLight16"/>
  <colors>
    <mruColors>
      <color rgb="FFF0CCE5"/>
      <color rgb="FF525252"/>
      <color rgb="FFB6007C"/>
      <color rgb="FFDB80BE"/>
      <color rgb="FFAB80C4"/>
      <color rgb="FF811A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379609</xdr:colOff>
      <xdr:row>13</xdr:row>
      <xdr:rowOff>245032</xdr:rowOff>
    </xdr:from>
    <xdr:ext cx="2780378" cy="38196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093397" y="3727911"/>
          <a:ext cx="2780378" cy="3819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200" b="0" i="0">
              <a:solidFill>
                <a:srgbClr val="525252"/>
              </a:solidFill>
              <a:latin typeface="M PLUS 2 Medium" pitchFamily="2" charset="-128"/>
              <a:ea typeface="M PLUS 2 Medium" pitchFamily="2" charset="-128"/>
            </a:rPr>
            <a:t>Do not add samples to these wells.</a:t>
          </a:r>
        </a:p>
      </xdr:txBody>
    </xdr:sp>
    <xdr:clientData/>
  </xdr:oneCellAnchor>
  <xdr:twoCellAnchor>
    <xdr:from>
      <xdr:col>2</xdr:col>
      <xdr:colOff>20</xdr:colOff>
      <xdr:row>9</xdr:row>
      <xdr:rowOff>8581</xdr:rowOff>
    </xdr:from>
    <xdr:to>
      <xdr:col>14</xdr:col>
      <xdr:colOff>20</xdr:colOff>
      <xdr:row>13</xdr:row>
      <xdr:rowOff>779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4E419FB-FE74-4FCF-96E3-8DC2775DC215}"/>
            </a:ext>
          </a:extLst>
        </xdr:cNvPr>
        <xdr:cNvSpPr/>
      </xdr:nvSpPr>
      <xdr:spPr>
        <a:xfrm>
          <a:off x="1693353" y="2413884"/>
          <a:ext cx="8081819" cy="915834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20</xdr:colOff>
      <xdr:row>13</xdr:row>
      <xdr:rowOff>0</xdr:rowOff>
    </xdr:from>
    <xdr:to>
      <xdr:col>14</xdr:col>
      <xdr:colOff>20</xdr:colOff>
      <xdr:row>17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C53316B-71CC-4E87-9330-E9DE652E042A}"/>
            </a:ext>
          </a:extLst>
        </xdr:cNvPr>
        <xdr:cNvSpPr/>
      </xdr:nvSpPr>
      <xdr:spPr>
        <a:xfrm>
          <a:off x="1693353" y="3482879"/>
          <a:ext cx="8081819" cy="1000606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pageSetUpPr fitToPage="1"/>
  </sheetPr>
  <dimension ref="A2:W90"/>
  <sheetViews>
    <sheetView showGridLines="0" showZeros="0" tabSelected="1" view="pageLayout" topLeftCell="A11" zoomScale="90" zoomScaleNormal="80" zoomScalePageLayoutView="90" workbookViewId="0">
      <selection activeCell="B77" sqref="B77"/>
    </sheetView>
  </sheetViews>
  <sheetFormatPr defaultColWidth="8.85546875" defaultRowHeight="15"/>
  <cols>
    <col min="1" max="1" width="12.85546875" style="9" customWidth="1"/>
    <col min="2" max="2" width="29.140625" style="9" customWidth="1"/>
    <col min="3" max="3" width="20.85546875" style="9" customWidth="1"/>
    <col min="4" max="4" width="25" style="9" customWidth="1"/>
    <col min="5" max="5" width="12.85546875" style="9" customWidth="1"/>
    <col min="6" max="6" width="17.28515625" style="9" customWidth="1"/>
    <col min="7" max="8" width="22.85546875" style="9" customWidth="1"/>
    <col min="9" max="10" width="26.85546875" style="9" customWidth="1"/>
    <col min="11" max="11" width="28" style="9" customWidth="1"/>
    <col min="12" max="12" width="21.85546875" style="9" customWidth="1"/>
    <col min="13" max="16383" width="8.85546875" style="9" customWidth="1"/>
    <col min="16384" max="16384" width="4.140625" style="9" customWidth="1"/>
  </cols>
  <sheetData>
    <row r="2" spans="1:23" ht="33">
      <c r="A2" s="14" t="s">
        <v>16</v>
      </c>
      <c r="B2" s="10"/>
    </row>
    <row r="3" spans="1:23" ht="16.7" customHeight="1">
      <c r="A3" s="11"/>
      <c r="B3" s="10"/>
    </row>
    <row r="4" spans="1:23" ht="18">
      <c r="A4" s="11"/>
      <c r="B4" s="15" t="s">
        <v>39</v>
      </c>
    </row>
    <row r="5" spans="1:23" ht="16.7" customHeight="1">
      <c r="A5" s="11"/>
      <c r="B5" s="16"/>
    </row>
    <row r="6" spans="1:23" ht="16.7" customHeight="1">
      <c r="A6" s="10"/>
      <c r="B6" s="10"/>
    </row>
    <row r="7" spans="1:23" ht="20.25">
      <c r="A7" s="17" t="s">
        <v>17</v>
      </c>
      <c r="B7" s="10"/>
    </row>
    <row r="8" spans="1:23" ht="16.7" customHeight="1"/>
    <row r="9" spans="1:23" ht="18">
      <c r="B9" s="18" t="s">
        <v>18</v>
      </c>
      <c r="C9" s="63" t="s">
        <v>19</v>
      </c>
      <c r="D9" s="63"/>
      <c r="E9" s="63"/>
      <c r="F9" s="63"/>
      <c r="G9" s="63"/>
      <c r="H9" s="63"/>
      <c r="I9" s="63"/>
    </row>
    <row r="10" spans="1:23">
      <c r="B10" s="19">
        <v>1</v>
      </c>
      <c r="C10" s="64" t="s">
        <v>20</v>
      </c>
      <c r="D10" s="64"/>
      <c r="E10" s="64"/>
      <c r="F10" s="64"/>
      <c r="G10" s="64"/>
      <c r="H10" s="64"/>
      <c r="I10" s="64"/>
    </row>
    <row r="11" spans="1:23">
      <c r="B11" s="19">
        <v>2</v>
      </c>
      <c r="C11" s="64" t="s">
        <v>21</v>
      </c>
      <c r="D11" s="64"/>
      <c r="E11" s="64"/>
      <c r="F11" s="64"/>
      <c r="G11" s="64"/>
      <c r="H11" s="64"/>
      <c r="I11" s="64"/>
    </row>
    <row r="12" spans="1:23">
      <c r="B12" s="19">
        <v>3</v>
      </c>
      <c r="C12" s="64" t="s">
        <v>22</v>
      </c>
      <c r="D12" s="64"/>
      <c r="E12" s="64"/>
      <c r="F12" s="64"/>
      <c r="G12" s="64"/>
      <c r="H12" s="64"/>
      <c r="I12" s="64"/>
    </row>
    <row r="13" spans="1:23">
      <c r="B13" s="19">
        <v>4</v>
      </c>
      <c r="C13" s="64" t="s">
        <v>23</v>
      </c>
      <c r="D13" s="64"/>
      <c r="E13" s="64"/>
      <c r="F13" s="64"/>
      <c r="G13" s="64"/>
      <c r="H13" s="64"/>
      <c r="I13" s="64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>
      <c r="B14" s="19">
        <v>5</v>
      </c>
      <c r="C14" s="64" t="s">
        <v>24</v>
      </c>
      <c r="D14" s="64"/>
      <c r="E14" s="64"/>
      <c r="F14" s="64"/>
      <c r="G14" s="64"/>
      <c r="H14" s="64"/>
      <c r="I14" s="6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ht="11.1" customHeight="1">
      <c r="B15" s="67" t="s">
        <v>40</v>
      </c>
      <c r="C15" s="68"/>
      <c r="D15" s="68"/>
      <c r="E15" s="68"/>
      <c r="F15" s="68"/>
      <c r="G15" s="68"/>
      <c r="H15" s="68"/>
      <c r="I15" s="69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ht="14.45" customHeight="1">
      <c r="B16" s="70"/>
      <c r="C16" s="71"/>
      <c r="D16" s="71"/>
      <c r="E16" s="71"/>
      <c r="F16" s="71"/>
      <c r="G16" s="71"/>
      <c r="H16" s="71"/>
      <c r="I16" s="7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ht="8.1" customHeight="1">
      <c r="B17" s="73"/>
      <c r="C17" s="74"/>
      <c r="D17" s="74"/>
      <c r="E17" s="74"/>
      <c r="F17" s="74"/>
      <c r="G17" s="74"/>
      <c r="H17" s="74"/>
      <c r="I17" s="75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>
      <c r="B18" s="19">
        <v>6</v>
      </c>
      <c r="C18" s="62" t="s">
        <v>25</v>
      </c>
      <c r="D18" s="62"/>
      <c r="E18" s="62"/>
      <c r="F18" s="62"/>
      <c r="G18" s="62"/>
      <c r="H18" s="62"/>
      <c r="I18" s="6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>
      <c r="B19" s="19">
        <v>7</v>
      </c>
      <c r="C19" s="76" t="s">
        <v>26</v>
      </c>
      <c r="D19" s="76"/>
      <c r="E19" s="76"/>
      <c r="F19" s="76"/>
      <c r="G19" s="76"/>
      <c r="H19" s="76"/>
      <c r="I19" s="76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3" ht="42" customHeight="1">
      <c r="B20" s="19">
        <v>8</v>
      </c>
      <c r="C20" s="66" t="s">
        <v>27</v>
      </c>
      <c r="D20" s="66"/>
      <c r="E20" s="66"/>
      <c r="F20" s="66"/>
      <c r="G20" s="66"/>
      <c r="H20" s="66"/>
      <c r="I20" s="66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</row>
    <row r="21" spans="1:23"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</row>
    <row r="22" spans="1:23">
      <c r="F22" s="29" t="s">
        <v>38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</row>
    <row r="23" spans="1:23" ht="15.75">
      <c r="A23" s="24" t="s">
        <v>35</v>
      </c>
      <c r="C23" s="25">
        <v>16</v>
      </c>
      <c r="F23" s="65">
        <f>IF(OR(NOT(AND(C77&gt;0.99,C77&lt;1.01)),COUNTIF(C27:C74,"&gt;0")&lt;&gt;C23,(COUNTIF(C27:C74,"&lt;0.020834"))),"WARNING:",0)</f>
        <v>0</v>
      </c>
      <c r="G23" s="65"/>
      <c r="H23" s="65"/>
      <c r="I23" s="65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</row>
    <row r="24" spans="1:23" ht="15.75">
      <c r="A24" s="24" t="s">
        <v>36</v>
      </c>
      <c r="C24" s="26">
        <v>125000</v>
      </c>
      <c r="D24" s="13"/>
      <c r="F24" s="65">
        <f>IF(COUNTIF(C27:C74,"&gt;0")&lt;&gt;C23,"Number of input percentages does not match number of samples",IF((COUNTIF(C27:C74,"&lt;0.020834")),"No individual percentage may be lower than 2.09%",IF(NOT(AND(C77&gt;0.99,C77&lt;1.01)),"Percentage Must Add to 100%",0)))</f>
        <v>0</v>
      </c>
      <c r="G24" s="65"/>
      <c r="H24" s="65"/>
      <c r="I24" s="65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</row>
    <row r="25" spans="1:23"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</row>
    <row r="26" spans="1:23" ht="63">
      <c r="A26" s="30" t="s">
        <v>13</v>
      </c>
      <c r="B26" s="23" t="s">
        <v>28</v>
      </c>
      <c r="C26" s="23" t="s">
        <v>29</v>
      </c>
      <c r="D26" s="23" t="s">
        <v>30</v>
      </c>
      <c r="E26" s="23" t="s">
        <v>31</v>
      </c>
      <c r="F26" s="23" t="s">
        <v>32</v>
      </c>
      <c r="G26" s="23" t="s">
        <v>33</v>
      </c>
      <c r="H26" s="23" t="s">
        <v>44</v>
      </c>
      <c r="I26" s="23" t="s">
        <v>41</v>
      </c>
      <c r="J26" s="23" t="s">
        <v>34</v>
      </c>
      <c r="K26" s="21"/>
    </row>
    <row r="27" spans="1:23">
      <c r="A27" s="20">
        <v>1</v>
      </c>
      <c r="B27" s="19">
        <v>1</v>
      </c>
      <c r="C27" s="36">
        <v>6.25E-2</v>
      </c>
      <c r="D27" s="37">
        <v>10000</v>
      </c>
      <c r="E27" s="19">
        <f>IF((SUM($E$28:$E$74)+ROUND(C27*48,0))&gt;48,ROUND(C27*48,0)-((SUM($E$28:$E$74)+ROUND(C27*48,0))-48),(IF((SUM($E$28:$E$74)+ROUND(C27*48,0))&lt;48,ROUND(C27*48,0)+(48-(SUM($E$28:$E$74)+ROUND(C27*48,0))),ROUND(C27*48,0))))</f>
        <v>3</v>
      </c>
      <c r="F27" s="38">
        <f t="shared" ref="F27:F32" si="0">C27*$C$24</f>
        <v>7812.5</v>
      </c>
      <c r="G27" s="39">
        <f>IFERROR(F27/(192.2*(E27/48)),0)</f>
        <v>650.36420395421442</v>
      </c>
      <c r="H27" s="39">
        <f t="shared" ref="H27:H32" si="1">(14*E27)*1.1</f>
        <v>46.2</v>
      </c>
      <c r="I27" s="31">
        <f>IFERROR(H27/(D27/G27),0)</f>
        <v>3.0046826222684708</v>
      </c>
      <c r="J27" s="31">
        <f t="shared" ref="J27:J28" si="2">IF(I27=0,0,H27-I27)</f>
        <v>43.195317377731534</v>
      </c>
      <c r="K27" s="22" t="str">
        <f>IF(J27&lt;0,"CRITICAL: This cell stock concentration is too low.","")</f>
        <v/>
      </c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</row>
    <row r="28" spans="1:23">
      <c r="A28" s="20">
        <f t="shared" ref="A28:A31" si="3">IF(A27&gt;0,IF($C$23&gt;=(A27+1),(A27+1),0),0)</f>
        <v>2</v>
      </c>
      <c r="B28" s="19">
        <v>2</v>
      </c>
      <c r="C28" s="36">
        <v>6.25E-2</v>
      </c>
      <c r="D28" s="37">
        <v>8600</v>
      </c>
      <c r="E28" s="19">
        <f>IF(A28&lt;=ReferenceTable!$H$1,ROUNDUP(C28*48,0),ROUNDDOWN(C28*48,0))</f>
        <v>3</v>
      </c>
      <c r="F28" s="38">
        <f t="shared" si="0"/>
        <v>7812.5</v>
      </c>
      <c r="G28" s="39">
        <f t="shared" ref="G28:G74" si="4">IFERROR(F28/(192.2*(E28/48)),0)</f>
        <v>650.36420395421442</v>
      </c>
      <c r="H28" s="39">
        <f t="shared" si="1"/>
        <v>46.2</v>
      </c>
      <c r="I28" s="31">
        <f t="shared" ref="I28:I74" si="5">IFERROR(H28/(D28/G28),0)</f>
        <v>3.4938170026377566</v>
      </c>
      <c r="J28" s="31">
        <f t="shared" si="2"/>
        <v>42.706182997362248</v>
      </c>
      <c r="K28" s="22" t="str">
        <f t="shared" ref="K28:K74" si="6">IF(J28&lt;0,"CRITICAL: This cell stock concentration is too low.","")</f>
        <v/>
      </c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29" spans="1:23">
      <c r="A29" s="20">
        <f t="shared" si="3"/>
        <v>3</v>
      </c>
      <c r="B29" s="19">
        <v>3</v>
      </c>
      <c r="C29" s="36">
        <v>6.25E-2</v>
      </c>
      <c r="D29" s="37">
        <v>11600</v>
      </c>
      <c r="E29" s="19">
        <f>IF(A29&lt;=ReferenceTable!$H$1,ROUNDUP(C29*48,0),ROUNDDOWN(C29*48,0))</f>
        <v>3</v>
      </c>
      <c r="F29" s="38">
        <f t="shared" si="0"/>
        <v>7812.5</v>
      </c>
      <c r="G29" s="39">
        <f t="shared" si="4"/>
        <v>650.36420395421442</v>
      </c>
      <c r="H29" s="39">
        <f t="shared" si="1"/>
        <v>46.2</v>
      </c>
      <c r="I29" s="31">
        <f t="shared" si="5"/>
        <v>2.5902436398866127</v>
      </c>
      <c r="J29" s="31">
        <f>IF(I29=0,0,H29-I29)</f>
        <v>43.609756360113387</v>
      </c>
      <c r="K29" s="22" t="str">
        <f t="shared" si="6"/>
        <v/>
      </c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</row>
    <row r="30" spans="1:23">
      <c r="A30" s="20">
        <f t="shared" si="3"/>
        <v>4</v>
      </c>
      <c r="B30" s="19">
        <v>4</v>
      </c>
      <c r="C30" s="36">
        <v>6.25E-2</v>
      </c>
      <c r="D30" s="37">
        <v>13200</v>
      </c>
      <c r="E30" s="19">
        <f>IF(A30&lt;=ReferenceTable!$H$1,ROUNDUP(C30*48,0),ROUNDDOWN(C30*48,0))</f>
        <v>3</v>
      </c>
      <c r="F30" s="38">
        <f t="shared" si="0"/>
        <v>7812.5</v>
      </c>
      <c r="G30" s="39">
        <f t="shared" si="4"/>
        <v>650.36420395421442</v>
      </c>
      <c r="H30" s="39">
        <f t="shared" si="1"/>
        <v>46.2</v>
      </c>
      <c r="I30" s="31">
        <f t="shared" si="5"/>
        <v>2.2762747138397508</v>
      </c>
      <c r="J30" s="31">
        <f t="shared" ref="J30:J74" si="7">IF(I30=0,0,H30-I30)</f>
        <v>43.923725286160249</v>
      </c>
      <c r="K30" s="22" t="str">
        <f t="shared" si="6"/>
        <v/>
      </c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</row>
    <row r="31" spans="1:23">
      <c r="A31" s="20">
        <f t="shared" si="3"/>
        <v>5</v>
      </c>
      <c r="B31" s="19">
        <v>7</v>
      </c>
      <c r="C31" s="36">
        <v>6.25E-2</v>
      </c>
      <c r="D31" s="37">
        <v>8300</v>
      </c>
      <c r="E31" s="19">
        <f>IF(A31&lt;=ReferenceTable!$H$1,ROUNDUP(C31*48,0),ROUNDDOWN(C31*48,0))</f>
        <v>3</v>
      </c>
      <c r="F31" s="38">
        <f t="shared" si="0"/>
        <v>7812.5</v>
      </c>
      <c r="G31" s="39">
        <f t="shared" si="4"/>
        <v>650.36420395421442</v>
      </c>
      <c r="H31" s="39">
        <f t="shared" si="1"/>
        <v>46.2</v>
      </c>
      <c r="I31" s="31">
        <f t="shared" si="5"/>
        <v>3.6200995449017719</v>
      </c>
      <c r="J31" s="31">
        <f t="shared" si="7"/>
        <v>42.579900455098233</v>
      </c>
      <c r="K31" s="22" t="str">
        <f t="shared" si="6"/>
        <v/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</row>
    <row r="32" spans="1:23">
      <c r="A32" s="20">
        <f t="shared" ref="A32:A74" si="8">IF(A31&gt;0,IF($C$23&gt;=(A31+1),(A31+1),0),0)</f>
        <v>6</v>
      </c>
      <c r="B32" s="19">
        <v>8</v>
      </c>
      <c r="C32" s="36">
        <v>6.25E-2</v>
      </c>
      <c r="D32" s="37">
        <v>21300</v>
      </c>
      <c r="E32" s="19">
        <f>IF(A32&lt;=ReferenceTable!$H$1,ROUNDUP(C32*48,0),ROUNDDOWN(C32*48,0))</f>
        <v>3</v>
      </c>
      <c r="F32" s="38">
        <f t="shared" si="0"/>
        <v>7812.5</v>
      </c>
      <c r="G32" s="39">
        <f t="shared" si="4"/>
        <v>650.36420395421442</v>
      </c>
      <c r="H32" s="39">
        <f t="shared" si="1"/>
        <v>46.2</v>
      </c>
      <c r="I32" s="31">
        <f t="shared" si="5"/>
        <v>1.4106491184359018</v>
      </c>
      <c r="J32" s="31">
        <f t="shared" si="7"/>
        <v>44.789350881564104</v>
      </c>
      <c r="K32" s="22" t="str">
        <f t="shared" si="6"/>
        <v/>
      </c>
    </row>
    <row r="33" spans="1:11">
      <c r="A33" s="20">
        <f t="shared" si="8"/>
        <v>7</v>
      </c>
      <c r="B33" s="19">
        <v>10</v>
      </c>
      <c r="C33" s="36">
        <v>6.25E-2</v>
      </c>
      <c r="D33" s="37">
        <v>14500</v>
      </c>
      <c r="E33" s="19">
        <f>IF(A33&lt;=ReferenceTable!$H$1,ROUNDUP(C33*48,0),ROUNDDOWN(C33*48,0))</f>
        <v>3</v>
      </c>
      <c r="F33" s="38">
        <f t="shared" ref="F33:F74" si="9">C33*$C$24</f>
        <v>7812.5</v>
      </c>
      <c r="G33" s="39">
        <f t="shared" si="4"/>
        <v>650.36420395421442</v>
      </c>
      <c r="H33" s="39">
        <f t="shared" ref="H33:H74" si="10">(14*E33)*1.1</f>
        <v>46.2</v>
      </c>
      <c r="I33" s="31">
        <f t="shared" si="5"/>
        <v>2.0721949119092904</v>
      </c>
      <c r="J33" s="31">
        <f t="shared" si="7"/>
        <v>44.12780508809071</v>
      </c>
      <c r="K33" s="22" t="str">
        <f t="shared" si="6"/>
        <v/>
      </c>
    </row>
    <row r="34" spans="1:11">
      <c r="A34" s="20">
        <f t="shared" si="8"/>
        <v>8</v>
      </c>
      <c r="B34" s="19">
        <v>19</v>
      </c>
      <c r="C34" s="36">
        <v>6.25E-2</v>
      </c>
      <c r="D34" s="37">
        <v>14700</v>
      </c>
      <c r="E34" s="19">
        <f>IF(A34&lt;=ReferenceTable!$H$1,ROUNDUP(C34*48,0),ROUNDDOWN(C34*48,0))</f>
        <v>3</v>
      </c>
      <c r="F34" s="38">
        <f t="shared" si="9"/>
        <v>7812.5</v>
      </c>
      <c r="G34" s="39">
        <f t="shared" si="4"/>
        <v>650.36420395421442</v>
      </c>
      <c r="H34" s="39">
        <f t="shared" si="10"/>
        <v>46.2</v>
      </c>
      <c r="I34" s="31">
        <f t="shared" si="5"/>
        <v>2.0440017838561024</v>
      </c>
      <c r="J34" s="31">
        <f t="shared" si="7"/>
        <v>44.1559982161439</v>
      </c>
      <c r="K34" s="22" t="str">
        <f t="shared" si="6"/>
        <v/>
      </c>
    </row>
    <row r="35" spans="1:11">
      <c r="A35" s="20">
        <f t="shared" si="8"/>
        <v>9</v>
      </c>
      <c r="B35" s="19">
        <v>20</v>
      </c>
      <c r="C35" s="36">
        <v>6.25E-2</v>
      </c>
      <c r="D35" s="37">
        <v>6800</v>
      </c>
      <c r="E35" s="19">
        <f>IF(A35&lt;=ReferenceTable!$H$1,ROUNDUP(C35*48,0),ROUNDDOWN(C35*48,0))</f>
        <v>3</v>
      </c>
      <c r="F35" s="38">
        <f t="shared" si="9"/>
        <v>7812.5</v>
      </c>
      <c r="G35" s="39">
        <f t="shared" si="4"/>
        <v>650.36420395421442</v>
      </c>
      <c r="H35" s="39">
        <f t="shared" si="10"/>
        <v>46.2</v>
      </c>
      <c r="I35" s="31">
        <f t="shared" si="5"/>
        <v>4.4186509151006925</v>
      </c>
      <c r="J35" s="31">
        <f t="shared" si="7"/>
        <v>41.781349084899311</v>
      </c>
      <c r="K35" s="22" t="str">
        <f t="shared" si="6"/>
        <v/>
      </c>
    </row>
    <row r="36" spans="1:11">
      <c r="A36" s="20">
        <f t="shared" si="8"/>
        <v>10</v>
      </c>
      <c r="B36" s="19">
        <v>23</v>
      </c>
      <c r="C36" s="36">
        <v>6.25E-2</v>
      </c>
      <c r="D36" s="37">
        <v>7500</v>
      </c>
      <c r="E36" s="19">
        <f>IF(A36&lt;=ReferenceTable!$H$1,ROUNDUP(C36*48,0),ROUNDDOWN(C36*48,0))</f>
        <v>3</v>
      </c>
      <c r="F36" s="38">
        <f t="shared" si="9"/>
        <v>7812.5</v>
      </c>
      <c r="G36" s="39">
        <f t="shared" si="4"/>
        <v>650.36420395421442</v>
      </c>
      <c r="H36" s="39">
        <f t="shared" si="10"/>
        <v>46.2</v>
      </c>
      <c r="I36" s="31">
        <f t="shared" si="5"/>
        <v>4.0062434963579614</v>
      </c>
      <c r="J36" s="31">
        <f t="shared" si="7"/>
        <v>42.193756503642042</v>
      </c>
      <c r="K36" s="22" t="str">
        <f t="shared" si="6"/>
        <v/>
      </c>
    </row>
    <row r="37" spans="1:11">
      <c r="A37" s="20">
        <f t="shared" si="8"/>
        <v>11</v>
      </c>
      <c r="B37" s="19">
        <v>34</v>
      </c>
      <c r="C37" s="36">
        <v>6.25E-2</v>
      </c>
      <c r="D37" s="37">
        <v>4300</v>
      </c>
      <c r="E37" s="19">
        <f>IF(A37&lt;=ReferenceTable!$H$1,ROUNDUP(C37*48,0),ROUNDDOWN(C37*48,0))</f>
        <v>3</v>
      </c>
      <c r="F37" s="38">
        <f t="shared" si="9"/>
        <v>7812.5</v>
      </c>
      <c r="G37" s="39">
        <f t="shared" si="4"/>
        <v>650.36420395421442</v>
      </c>
      <c r="H37" s="39">
        <f t="shared" si="10"/>
        <v>46.2</v>
      </c>
      <c r="I37" s="31">
        <f t="shared" si="5"/>
        <v>6.9876340052755133</v>
      </c>
      <c r="J37" s="31">
        <f t="shared" si="7"/>
        <v>39.212365994724493</v>
      </c>
      <c r="K37" s="22" t="str">
        <f t="shared" si="6"/>
        <v/>
      </c>
    </row>
    <row r="38" spans="1:11">
      <c r="A38" s="20">
        <f t="shared" si="8"/>
        <v>12</v>
      </c>
      <c r="B38" s="19">
        <v>35</v>
      </c>
      <c r="C38" s="36">
        <v>6.25E-2</v>
      </c>
      <c r="D38" s="37">
        <v>7400</v>
      </c>
      <c r="E38" s="19">
        <f>IF(A38&lt;=ReferenceTable!$H$1,ROUNDUP(C38*48,0),ROUNDDOWN(C38*48,0))</f>
        <v>3</v>
      </c>
      <c r="F38" s="38">
        <f t="shared" si="9"/>
        <v>7812.5</v>
      </c>
      <c r="G38" s="39">
        <f t="shared" si="4"/>
        <v>650.36420395421442</v>
      </c>
      <c r="H38" s="39">
        <f t="shared" si="10"/>
        <v>46.2</v>
      </c>
      <c r="I38" s="31">
        <f t="shared" si="5"/>
        <v>4.0603819219844199</v>
      </c>
      <c r="J38" s="31">
        <f t="shared" si="7"/>
        <v>42.13961807801558</v>
      </c>
      <c r="K38" s="22" t="str">
        <f t="shared" si="6"/>
        <v/>
      </c>
    </row>
    <row r="39" spans="1:11">
      <c r="A39" s="20">
        <f t="shared" si="8"/>
        <v>13</v>
      </c>
      <c r="B39" s="19">
        <v>39</v>
      </c>
      <c r="C39" s="36">
        <v>6.25E-2</v>
      </c>
      <c r="D39" s="37">
        <v>5400</v>
      </c>
      <c r="E39" s="19">
        <f>IF(A39&lt;=ReferenceTable!$H$1,ROUNDUP(C39*48,0),ROUNDDOWN(C39*48,0))</f>
        <v>3</v>
      </c>
      <c r="F39" s="38">
        <f t="shared" si="9"/>
        <v>7812.5</v>
      </c>
      <c r="G39" s="39">
        <f t="shared" si="4"/>
        <v>650.36420395421442</v>
      </c>
      <c r="H39" s="39">
        <f t="shared" si="10"/>
        <v>46.2</v>
      </c>
      <c r="I39" s="31">
        <f t="shared" si="5"/>
        <v>5.5642270782749454</v>
      </c>
      <c r="J39" s="31">
        <f t="shared" si="7"/>
        <v>40.635772921725057</v>
      </c>
      <c r="K39" s="22" t="str">
        <f t="shared" si="6"/>
        <v/>
      </c>
    </row>
    <row r="40" spans="1:11">
      <c r="A40" s="20">
        <f t="shared" si="8"/>
        <v>14</v>
      </c>
      <c r="B40" s="19">
        <v>40</v>
      </c>
      <c r="C40" s="36">
        <v>6.25E-2</v>
      </c>
      <c r="D40" s="37">
        <v>7800</v>
      </c>
      <c r="E40" s="19">
        <f>IF(A40&lt;=ReferenceTable!$H$1,ROUNDUP(C40*48,0),ROUNDDOWN(C40*48,0))</f>
        <v>3</v>
      </c>
      <c r="F40" s="38">
        <f t="shared" si="9"/>
        <v>7812.5</v>
      </c>
      <c r="G40" s="39">
        <f t="shared" si="4"/>
        <v>650.36420395421442</v>
      </c>
      <c r="H40" s="39">
        <f t="shared" si="10"/>
        <v>46.2</v>
      </c>
      <c r="I40" s="31">
        <f t="shared" si="5"/>
        <v>3.852157208036501</v>
      </c>
      <c r="J40" s="31">
        <f t="shared" si="7"/>
        <v>42.347842791963501</v>
      </c>
      <c r="K40" s="22" t="str">
        <f t="shared" si="6"/>
        <v/>
      </c>
    </row>
    <row r="41" spans="1:11">
      <c r="A41" s="20">
        <f t="shared" si="8"/>
        <v>15</v>
      </c>
      <c r="B41" s="19">
        <v>41</v>
      </c>
      <c r="C41" s="36">
        <v>6.25E-2</v>
      </c>
      <c r="D41" s="37">
        <v>7000</v>
      </c>
      <c r="E41" s="19">
        <f>IF(A41&lt;=ReferenceTable!$H$1,ROUNDUP(C41*48,0),ROUNDDOWN(C41*48,0))</f>
        <v>3</v>
      </c>
      <c r="F41" s="38">
        <f t="shared" si="9"/>
        <v>7812.5</v>
      </c>
      <c r="G41" s="39">
        <f t="shared" si="4"/>
        <v>650.36420395421442</v>
      </c>
      <c r="H41" s="39">
        <f t="shared" si="10"/>
        <v>46.2</v>
      </c>
      <c r="I41" s="31">
        <f t="shared" si="5"/>
        <v>4.2924037460978148</v>
      </c>
      <c r="J41" s="31">
        <f t="shared" si="7"/>
        <v>41.907596253902184</v>
      </c>
      <c r="K41" s="22" t="str">
        <f t="shared" si="6"/>
        <v/>
      </c>
    </row>
    <row r="42" spans="1:11">
      <c r="A42" s="20">
        <f t="shared" si="8"/>
        <v>16</v>
      </c>
      <c r="B42" s="19">
        <v>42</v>
      </c>
      <c r="C42" s="36">
        <v>6.25E-2</v>
      </c>
      <c r="D42" s="37">
        <v>12100</v>
      </c>
      <c r="E42" s="19">
        <f>IF(A42&lt;=ReferenceTable!$H$1,ROUNDUP(C42*48,0),ROUNDDOWN(C42*48,0))</f>
        <v>3</v>
      </c>
      <c r="F42" s="38">
        <f t="shared" si="9"/>
        <v>7812.5</v>
      </c>
      <c r="G42" s="39">
        <f t="shared" si="4"/>
        <v>650.36420395421442</v>
      </c>
      <c r="H42" s="39">
        <f t="shared" si="10"/>
        <v>46.2</v>
      </c>
      <c r="I42" s="31">
        <f t="shared" si="5"/>
        <v>2.4832087787342734</v>
      </c>
      <c r="J42" s="31">
        <f t="shared" si="7"/>
        <v>43.71679122126573</v>
      </c>
      <c r="K42" s="22" t="str">
        <f t="shared" si="6"/>
        <v/>
      </c>
    </row>
    <row r="43" spans="1:11" hidden="1">
      <c r="A43" s="20">
        <f t="shared" si="8"/>
        <v>0</v>
      </c>
      <c r="B43" s="19"/>
      <c r="C43" s="36"/>
      <c r="D43" s="37"/>
      <c r="E43" s="19">
        <f>IF(A43&lt;=ReferenceTable!$H$1,ROUNDUP(C43*48,0),ROUNDDOWN(C43*48,0))</f>
        <v>0</v>
      </c>
      <c r="F43" s="38">
        <f t="shared" si="9"/>
        <v>0</v>
      </c>
      <c r="G43" s="39">
        <f t="shared" si="4"/>
        <v>0</v>
      </c>
      <c r="H43" s="39">
        <f t="shared" si="10"/>
        <v>0</v>
      </c>
      <c r="I43" s="31">
        <f t="shared" si="5"/>
        <v>0</v>
      </c>
      <c r="J43" s="31">
        <f t="shared" si="7"/>
        <v>0</v>
      </c>
      <c r="K43" s="22" t="str">
        <f t="shared" si="6"/>
        <v/>
      </c>
    </row>
    <row r="44" spans="1:11" hidden="1">
      <c r="A44" s="20">
        <f t="shared" si="8"/>
        <v>0</v>
      </c>
      <c r="B44" s="19"/>
      <c r="C44" s="36"/>
      <c r="D44" s="37"/>
      <c r="E44" s="19">
        <f>IF(A44&lt;=ReferenceTable!$H$1,ROUNDUP(C44*48,0),ROUNDDOWN(C44*48,0))</f>
        <v>0</v>
      </c>
      <c r="F44" s="38">
        <f t="shared" si="9"/>
        <v>0</v>
      </c>
      <c r="G44" s="39">
        <f t="shared" si="4"/>
        <v>0</v>
      </c>
      <c r="H44" s="39">
        <f t="shared" si="10"/>
        <v>0</v>
      </c>
      <c r="I44" s="31">
        <f t="shared" si="5"/>
        <v>0</v>
      </c>
      <c r="J44" s="31">
        <f t="shared" si="7"/>
        <v>0</v>
      </c>
      <c r="K44" s="22" t="str">
        <f t="shared" si="6"/>
        <v/>
      </c>
    </row>
    <row r="45" spans="1:11" hidden="1">
      <c r="A45" s="20">
        <f t="shared" si="8"/>
        <v>0</v>
      </c>
      <c r="B45" s="19"/>
      <c r="C45" s="36"/>
      <c r="D45" s="37"/>
      <c r="E45" s="19">
        <f>IF(A45&lt;=ReferenceTable!$H$1,ROUNDUP(C45*48,0),ROUNDDOWN(C45*48,0))</f>
        <v>0</v>
      </c>
      <c r="F45" s="38">
        <f t="shared" si="9"/>
        <v>0</v>
      </c>
      <c r="G45" s="39">
        <f t="shared" si="4"/>
        <v>0</v>
      </c>
      <c r="H45" s="39">
        <f t="shared" si="10"/>
        <v>0</v>
      </c>
      <c r="I45" s="31">
        <f t="shared" si="5"/>
        <v>0</v>
      </c>
      <c r="J45" s="31">
        <f t="shared" si="7"/>
        <v>0</v>
      </c>
      <c r="K45" s="22" t="str">
        <f t="shared" si="6"/>
        <v/>
      </c>
    </row>
    <row r="46" spans="1:11" hidden="1">
      <c r="A46" s="20">
        <f t="shared" si="8"/>
        <v>0</v>
      </c>
      <c r="B46" s="19"/>
      <c r="C46" s="36"/>
      <c r="D46" s="37"/>
      <c r="E46" s="19">
        <f>IF(A46&lt;=ReferenceTable!$H$1,ROUNDUP(C46*48,0),ROUNDDOWN(C46*48,0))</f>
        <v>0</v>
      </c>
      <c r="F46" s="38">
        <f t="shared" si="9"/>
        <v>0</v>
      </c>
      <c r="G46" s="39">
        <f t="shared" si="4"/>
        <v>0</v>
      </c>
      <c r="H46" s="39">
        <f t="shared" si="10"/>
        <v>0</v>
      </c>
      <c r="I46" s="31">
        <f t="shared" si="5"/>
        <v>0</v>
      </c>
      <c r="J46" s="31">
        <f t="shared" si="7"/>
        <v>0</v>
      </c>
      <c r="K46" s="22" t="str">
        <f t="shared" si="6"/>
        <v/>
      </c>
    </row>
    <row r="47" spans="1:11" hidden="1">
      <c r="A47" s="20">
        <f t="shared" si="8"/>
        <v>0</v>
      </c>
      <c r="B47" s="19"/>
      <c r="C47" s="36"/>
      <c r="D47" s="37"/>
      <c r="E47" s="19">
        <f>IF(A47&lt;=ReferenceTable!$H$1,ROUNDUP(C47*48,0),ROUNDDOWN(C47*48,0))</f>
        <v>0</v>
      </c>
      <c r="F47" s="38">
        <f t="shared" si="9"/>
        <v>0</v>
      </c>
      <c r="G47" s="39">
        <f t="shared" si="4"/>
        <v>0</v>
      </c>
      <c r="H47" s="39">
        <f t="shared" si="10"/>
        <v>0</v>
      </c>
      <c r="I47" s="31">
        <f t="shared" si="5"/>
        <v>0</v>
      </c>
      <c r="J47" s="31">
        <f t="shared" si="7"/>
        <v>0</v>
      </c>
      <c r="K47" s="22" t="str">
        <f t="shared" si="6"/>
        <v/>
      </c>
    </row>
    <row r="48" spans="1:11" hidden="1">
      <c r="A48" s="20">
        <f t="shared" si="8"/>
        <v>0</v>
      </c>
      <c r="B48" s="19"/>
      <c r="C48" s="36"/>
      <c r="D48" s="37"/>
      <c r="E48" s="19">
        <f>IF(A48&lt;=ReferenceTable!$H$1,ROUNDUP(C48*48,0),ROUNDDOWN(C48*48,0))</f>
        <v>0</v>
      </c>
      <c r="F48" s="38">
        <f t="shared" si="9"/>
        <v>0</v>
      </c>
      <c r="G48" s="39">
        <f t="shared" si="4"/>
        <v>0</v>
      </c>
      <c r="H48" s="39">
        <f t="shared" si="10"/>
        <v>0</v>
      </c>
      <c r="I48" s="31">
        <f t="shared" si="5"/>
        <v>0</v>
      </c>
      <c r="J48" s="31">
        <f t="shared" si="7"/>
        <v>0</v>
      </c>
      <c r="K48" s="22" t="str">
        <f t="shared" si="6"/>
        <v/>
      </c>
    </row>
    <row r="49" spans="1:11" hidden="1">
      <c r="A49" s="20">
        <f t="shared" si="8"/>
        <v>0</v>
      </c>
      <c r="B49" s="19"/>
      <c r="C49" s="36"/>
      <c r="D49" s="37"/>
      <c r="E49" s="19">
        <f>IF(A49&lt;=ReferenceTable!$H$1,ROUNDUP(C49*48,0),ROUNDDOWN(C49*48,0))</f>
        <v>0</v>
      </c>
      <c r="F49" s="38">
        <f t="shared" si="9"/>
        <v>0</v>
      </c>
      <c r="G49" s="39">
        <f t="shared" si="4"/>
        <v>0</v>
      </c>
      <c r="H49" s="39">
        <f t="shared" si="10"/>
        <v>0</v>
      </c>
      <c r="I49" s="31">
        <f t="shared" si="5"/>
        <v>0</v>
      </c>
      <c r="J49" s="31">
        <f t="shared" si="7"/>
        <v>0</v>
      </c>
      <c r="K49" s="22" t="str">
        <f t="shared" si="6"/>
        <v/>
      </c>
    </row>
    <row r="50" spans="1:11" hidden="1">
      <c r="A50" s="20">
        <f t="shared" si="8"/>
        <v>0</v>
      </c>
      <c r="B50" s="19"/>
      <c r="C50" s="36"/>
      <c r="D50" s="37"/>
      <c r="E50" s="19">
        <f>IF(A50&lt;=ReferenceTable!$H$1,ROUNDUP(C50*48,0),ROUNDDOWN(C50*48,0))</f>
        <v>0</v>
      </c>
      <c r="F50" s="38">
        <f t="shared" si="9"/>
        <v>0</v>
      </c>
      <c r="G50" s="39">
        <f t="shared" si="4"/>
        <v>0</v>
      </c>
      <c r="H50" s="39">
        <f t="shared" si="10"/>
        <v>0</v>
      </c>
      <c r="I50" s="31">
        <f t="shared" si="5"/>
        <v>0</v>
      </c>
      <c r="J50" s="31">
        <f t="shared" si="7"/>
        <v>0</v>
      </c>
      <c r="K50" s="22" t="str">
        <f t="shared" si="6"/>
        <v/>
      </c>
    </row>
    <row r="51" spans="1:11" hidden="1">
      <c r="A51" s="20">
        <f t="shared" si="8"/>
        <v>0</v>
      </c>
      <c r="B51" s="19"/>
      <c r="C51" s="36"/>
      <c r="D51" s="37"/>
      <c r="E51" s="19">
        <f>IF(A51&lt;=ReferenceTable!$H$1,ROUNDUP(C51*48,0),ROUNDDOWN(C51*48,0))</f>
        <v>0</v>
      </c>
      <c r="F51" s="38">
        <f t="shared" si="9"/>
        <v>0</v>
      </c>
      <c r="G51" s="39">
        <f t="shared" si="4"/>
        <v>0</v>
      </c>
      <c r="H51" s="39">
        <f t="shared" si="10"/>
        <v>0</v>
      </c>
      <c r="I51" s="31">
        <f t="shared" si="5"/>
        <v>0</v>
      </c>
      <c r="J51" s="31">
        <f t="shared" si="7"/>
        <v>0</v>
      </c>
      <c r="K51" s="22" t="str">
        <f t="shared" si="6"/>
        <v/>
      </c>
    </row>
    <row r="52" spans="1:11" hidden="1">
      <c r="A52" s="20">
        <f t="shared" si="8"/>
        <v>0</v>
      </c>
      <c r="B52" s="19"/>
      <c r="C52" s="36"/>
      <c r="D52" s="37"/>
      <c r="E52" s="19">
        <f>IF(A52&lt;=ReferenceTable!$H$1,ROUNDUP(C52*48,0),ROUNDDOWN(C52*48,0))</f>
        <v>0</v>
      </c>
      <c r="F52" s="38">
        <f t="shared" si="9"/>
        <v>0</v>
      </c>
      <c r="G52" s="39">
        <f t="shared" si="4"/>
        <v>0</v>
      </c>
      <c r="H52" s="39">
        <f t="shared" si="10"/>
        <v>0</v>
      </c>
      <c r="I52" s="31">
        <f t="shared" si="5"/>
        <v>0</v>
      </c>
      <c r="J52" s="31">
        <f t="shared" si="7"/>
        <v>0</v>
      </c>
      <c r="K52" s="22" t="str">
        <f t="shared" si="6"/>
        <v/>
      </c>
    </row>
    <row r="53" spans="1:11" hidden="1">
      <c r="A53" s="20">
        <f t="shared" si="8"/>
        <v>0</v>
      </c>
      <c r="B53" s="19"/>
      <c r="C53" s="36"/>
      <c r="D53" s="37"/>
      <c r="E53" s="19">
        <f>IF(A53&lt;=ReferenceTable!$H$1,ROUNDUP(C53*48,0),ROUNDDOWN(C53*48,0))</f>
        <v>0</v>
      </c>
      <c r="F53" s="38">
        <f t="shared" si="9"/>
        <v>0</v>
      </c>
      <c r="G53" s="39">
        <f t="shared" si="4"/>
        <v>0</v>
      </c>
      <c r="H53" s="39">
        <f t="shared" si="10"/>
        <v>0</v>
      </c>
      <c r="I53" s="31">
        <f t="shared" si="5"/>
        <v>0</v>
      </c>
      <c r="J53" s="31">
        <f t="shared" si="7"/>
        <v>0</v>
      </c>
      <c r="K53" s="22" t="str">
        <f t="shared" si="6"/>
        <v/>
      </c>
    </row>
    <row r="54" spans="1:11" hidden="1">
      <c r="A54" s="20">
        <f t="shared" si="8"/>
        <v>0</v>
      </c>
      <c r="B54" s="19"/>
      <c r="C54" s="36"/>
      <c r="D54" s="37"/>
      <c r="E54" s="19">
        <f>IF(A54&lt;=ReferenceTable!$H$1,ROUNDUP(C54*48,0),ROUNDDOWN(C54*48,0))</f>
        <v>0</v>
      </c>
      <c r="F54" s="38">
        <f t="shared" si="9"/>
        <v>0</v>
      </c>
      <c r="G54" s="39">
        <f t="shared" si="4"/>
        <v>0</v>
      </c>
      <c r="H54" s="39">
        <f t="shared" si="10"/>
        <v>0</v>
      </c>
      <c r="I54" s="31">
        <f t="shared" si="5"/>
        <v>0</v>
      </c>
      <c r="J54" s="31">
        <f t="shared" si="7"/>
        <v>0</v>
      </c>
      <c r="K54" s="22" t="str">
        <f t="shared" si="6"/>
        <v/>
      </c>
    </row>
    <row r="55" spans="1:11" hidden="1">
      <c r="A55" s="20">
        <f t="shared" si="8"/>
        <v>0</v>
      </c>
      <c r="B55" s="19"/>
      <c r="C55" s="36"/>
      <c r="D55" s="37"/>
      <c r="E55" s="19">
        <f>IF(A55&lt;=ReferenceTable!$H$1,ROUNDUP(C55*48,0),ROUNDDOWN(C55*48,0))</f>
        <v>0</v>
      </c>
      <c r="F55" s="38">
        <f t="shared" si="9"/>
        <v>0</v>
      </c>
      <c r="G55" s="39">
        <f t="shared" si="4"/>
        <v>0</v>
      </c>
      <c r="H55" s="39">
        <f t="shared" si="10"/>
        <v>0</v>
      </c>
      <c r="I55" s="31">
        <f t="shared" si="5"/>
        <v>0</v>
      </c>
      <c r="J55" s="31">
        <f t="shared" si="7"/>
        <v>0</v>
      </c>
      <c r="K55" s="22" t="str">
        <f t="shared" si="6"/>
        <v/>
      </c>
    </row>
    <row r="56" spans="1:11" hidden="1">
      <c r="A56" s="20">
        <f t="shared" si="8"/>
        <v>0</v>
      </c>
      <c r="B56" s="19"/>
      <c r="C56" s="36"/>
      <c r="D56" s="37"/>
      <c r="E56" s="19">
        <f>IF(A56&lt;=ReferenceTable!$H$1,ROUNDUP(C56*48,0),ROUNDDOWN(C56*48,0))</f>
        <v>0</v>
      </c>
      <c r="F56" s="38">
        <f t="shared" si="9"/>
        <v>0</v>
      </c>
      <c r="G56" s="39">
        <f t="shared" si="4"/>
        <v>0</v>
      </c>
      <c r="H56" s="39">
        <f t="shared" si="10"/>
        <v>0</v>
      </c>
      <c r="I56" s="31">
        <f t="shared" si="5"/>
        <v>0</v>
      </c>
      <c r="J56" s="31">
        <f t="shared" si="7"/>
        <v>0</v>
      </c>
      <c r="K56" s="22" t="str">
        <f t="shared" si="6"/>
        <v/>
      </c>
    </row>
    <row r="57" spans="1:11" hidden="1">
      <c r="A57" s="20">
        <f t="shared" si="8"/>
        <v>0</v>
      </c>
      <c r="B57" s="19"/>
      <c r="C57" s="36"/>
      <c r="D57" s="37"/>
      <c r="E57" s="19">
        <f>IF(A57&lt;=ReferenceTable!$H$1,ROUNDUP(C57*48,0),ROUNDDOWN(C57*48,0))</f>
        <v>0</v>
      </c>
      <c r="F57" s="38">
        <f t="shared" si="9"/>
        <v>0</v>
      </c>
      <c r="G57" s="39">
        <f t="shared" si="4"/>
        <v>0</v>
      </c>
      <c r="H57" s="39">
        <f t="shared" si="10"/>
        <v>0</v>
      </c>
      <c r="I57" s="31">
        <f t="shared" si="5"/>
        <v>0</v>
      </c>
      <c r="J57" s="31">
        <f t="shared" si="7"/>
        <v>0</v>
      </c>
      <c r="K57" s="22" t="str">
        <f t="shared" si="6"/>
        <v/>
      </c>
    </row>
    <row r="58" spans="1:11" hidden="1">
      <c r="A58" s="20">
        <f t="shared" si="8"/>
        <v>0</v>
      </c>
      <c r="B58" s="19"/>
      <c r="C58" s="36"/>
      <c r="D58" s="37"/>
      <c r="E58" s="19">
        <f>IF(A58&lt;=ReferenceTable!$H$1,ROUNDUP(C58*48,0),ROUNDDOWN(C58*48,0))</f>
        <v>0</v>
      </c>
      <c r="F58" s="38">
        <f t="shared" si="9"/>
        <v>0</v>
      </c>
      <c r="G58" s="39">
        <f t="shared" si="4"/>
        <v>0</v>
      </c>
      <c r="H58" s="39">
        <f t="shared" si="10"/>
        <v>0</v>
      </c>
      <c r="I58" s="31">
        <f t="shared" si="5"/>
        <v>0</v>
      </c>
      <c r="J58" s="31">
        <f t="shared" si="7"/>
        <v>0</v>
      </c>
      <c r="K58" s="22" t="str">
        <f t="shared" si="6"/>
        <v/>
      </c>
    </row>
    <row r="59" spans="1:11" hidden="1">
      <c r="A59" s="20">
        <f t="shared" si="8"/>
        <v>0</v>
      </c>
      <c r="B59" s="19"/>
      <c r="C59" s="36"/>
      <c r="D59" s="37"/>
      <c r="E59" s="19">
        <f>IF(A59&lt;=ReferenceTable!$H$1,ROUNDUP(C59*48,0),ROUNDDOWN(C59*48,0))</f>
        <v>0</v>
      </c>
      <c r="F59" s="38">
        <f t="shared" si="9"/>
        <v>0</v>
      </c>
      <c r="G59" s="39">
        <f t="shared" si="4"/>
        <v>0</v>
      </c>
      <c r="H59" s="39">
        <f t="shared" si="10"/>
        <v>0</v>
      </c>
      <c r="I59" s="31">
        <f t="shared" si="5"/>
        <v>0</v>
      </c>
      <c r="J59" s="31">
        <f t="shared" si="7"/>
        <v>0</v>
      </c>
      <c r="K59" s="22" t="str">
        <f t="shared" si="6"/>
        <v/>
      </c>
    </row>
    <row r="60" spans="1:11" hidden="1">
      <c r="A60" s="20">
        <f t="shared" si="8"/>
        <v>0</v>
      </c>
      <c r="B60" s="19"/>
      <c r="C60" s="36"/>
      <c r="D60" s="37"/>
      <c r="E60" s="19">
        <f>IF(A60&lt;=ReferenceTable!$H$1,ROUNDUP(C60*48,0),ROUNDDOWN(C60*48,0))</f>
        <v>0</v>
      </c>
      <c r="F60" s="38">
        <f t="shared" si="9"/>
        <v>0</v>
      </c>
      <c r="G60" s="39">
        <f t="shared" si="4"/>
        <v>0</v>
      </c>
      <c r="H60" s="39">
        <f t="shared" si="10"/>
        <v>0</v>
      </c>
      <c r="I60" s="31">
        <f t="shared" si="5"/>
        <v>0</v>
      </c>
      <c r="J60" s="31">
        <f t="shared" si="7"/>
        <v>0</v>
      </c>
      <c r="K60" s="22" t="str">
        <f t="shared" si="6"/>
        <v/>
      </c>
    </row>
    <row r="61" spans="1:11" hidden="1">
      <c r="A61" s="20">
        <f t="shared" si="8"/>
        <v>0</v>
      </c>
      <c r="B61" s="19"/>
      <c r="C61" s="36"/>
      <c r="D61" s="37"/>
      <c r="E61" s="19">
        <f>IF(A61&lt;=ReferenceTable!$H$1,ROUNDUP(C61*48,0),ROUNDDOWN(C61*48,0))</f>
        <v>0</v>
      </c>
      <c r="F61" s="38">
        <f t="shared" si="9"/>
        <v>0</v>
      </c>
      <c r="G61" s="39">
        <f t="shared" si="4"/>
        <v>0</v>
      </c>
      <c r="H61" s="39">
        <f t="shared" si="10"/>
        <v>0</v>
      </c>
      <c r="I61" s="31">
        <f t="shared" si="5"/>
        <v>0</v>
      </c>
      <c r="J61" s="31">
        <f t="shared" si="7"/>
        <v>0</v>
      </c>
      <c r="K61" s="22" t="str">
        <f t="shared" si="6"/>
        <v/>
      </c>
    </row>
    <row r="62" spans="1:11" hidden="1">
      <c r="A62" s="20">
        <f t="shared" si="8"/>
        <v>0</v>
      </c>
      <c r="B62" s="19"/>
      <c r="C62" s="36"/>
      <c r="D62" s="37"/>
      <c r="E62" s="19">
        <f>IF(A62&lt;=ReferenceTable!$H$1,ROUNDUP(C62*48,0),ROUNDDOWN(C62*48,0))</f>
        <v>0</v>
      </c>
      <c r="F62" s="38">
        <f t="shared" si="9"/>
        <v>0</v>
      </c>
      <c r="G62" s="39">
        <f t="shared" si="4"/>
        <v>0</v>
      </c>
      <c r="H62" s="39">
        <f t="shared" si="10"/>
        <v>0</v>
      </c>
      <c r="I62" s="31">
        <f t="shared" si="5"/>
        <v>0</v>
      </c>
      <c r="J62" s="31">
        <f t="shared" si="7"/>
        <v>0</v>
      </c>
      <c r="K62" s="22" t="str">
        <f t="shared" si="6"/>
        <v/>
      </c>
    </row>
    <row r="63" spans="1:11" hidden="1">
      <c r="A63" s="20">
        <f t="shared" si="8"/>
        <v>0</v>
      </c>
      <c r="B63" s="19"/>
      <c r="C63" s="36"/>
      <c r="D63" s="37"/>
      <c r="E63" s="19">
        <f>IF(A63&lt;=ReferenceTable!$H$1,ROUNDUP(C63*48,0),ROUNDDOWN(C63*48,0))</f>
        <v>0</v>
      </c>
      <c r="F63" s="38">
        <f t="shared" si="9"/>
        <v>0</v>
      </c>
      <c r="G63" s="39">
        <f t="shared" si="4"/>
        <v>0</v>
      </c>
      <c r="H63" s="39">
        <f t="shared" si="10"/>
        <v>0</v>
      </c>
      <c r="I63" s="31">
        <f t="shared" si="5"/>
        <v>0</v>
      </c>
      <c r="J63" s="31">
        <f t="shared" si="7"/>
        <v>0</v>
      </c>
      <c r="K63" s="22" t="str">
        <f t="shared" si="6"/>
        <v/>
      </c>
    </row>
    <row r="64" spans="1:11" hidden="1">
      <c r="A64" s="20">
        <f t="shared" si="8"/>
        <v>0</v>
      </c>
      <c r="B64" s="19"/>
      <c r="C64" s="36"/>
      <c r="D64" s="37"/>
      <c r="E64" s="19">
        <f>IF(A64&lt;=ReferenceTable!$H$1,ROUNDUP(C64*48,0),ROUNDDOWN(C64*48,0))</f>
        <v>0</v>
      </c>
      <c r="F64" s="38">
        <f t="shared" si="9"/>
        <v>0</v>
      </c>
      <c r="G64" s="39">
        <f t="shared" si="4"/>
        <v>0</v>
      </c>
      <c r="H64" s="39">
        <f t="shared" si="10"/>
        <v>0</v>
      </c>
      <c r="I64" s="31">
        <f t="shared" si="5"/>
        <v>0</v>
      </c>
      <c r="J64" s="31">
        <f t="shared" si="7"/>
        <v>0</v>
      </c>
      <c r="K64" s="22" t="str">
        <f t="shared" si="6"/>
        <v/>
      </c>
    </row>
    <row r="65" spans="1:20" hidden="1">
      <c r="A65" s="20">
        <f t="shared" si="8"/>
        <v>0</v>
      </c>
      <c r="B65" s="19"/>
      <c r="C65" s="36"/>
      <c r="D65" s="37"/>
      <c r="E65" s="19">
        <f>IF(A65&lt;=ReferenceTable!$H$1,ROUNDUP(C65*48,0),ROUNDDOWN(C65*48,0))</f>
        <v>0</v>
      </c>
      <c r="F65" s="38">
        <f t="shared" si="9"/>
        <v>0</v>
      </c>
      <c r="G65" s="39">
        <f t="shared" si="4"/>
        <v>0</v>
      </c>
      <c r="H65" s="39">
        <f t="shared" si="10"/>
        <v>0</v>
      </c>
      <c r="I65" s="31">
        <f t="shared" si="5"/>
        <v>0</v>
      </c>
      <c r="J65" s="31">
        <f t="shared" si="7"/>
        <v>0</v>
      </c>
      <c r="K65" s="22" t="str">
        <f t="shared" si="6"/>
        <v/>
      </c>
    </row>
    <row r="66" spans="1:20" hidden="1">
      <c r="A66" s="20">
        <f t="shared" si="8"/>
        <v>0</v>
      </c>
      <c r="B66" s="19"/>
      <c r="C66" s="36"/>
      <c r="D66" s="37"/>
      <c r="E66" s="19">
        <f>IF(A66&lt;=ReferenceTable!$H$1,ROUNDUP(C66*48,0),ROUNDDOWN(C66*48,0))</f>
        <v>0</v>
      </c>
      <c r="F66" s="38">
        <f t="shared" si="9"/>
        <v>0</v>
      </c>
      <c r="G66" s="39">
        <f t="shared" si="4"/>
        <v>0</v>
      </c>
      <c r="H66" s="39">
        <f t="shared" si="10"/>
        <v>0</v>
      </c>
      <c r="I66" s="31">
        <f t="shared" si="5"/>
        <v>0</v>
      </c>
      <c r="J66" s="31">
        <f t="shared" si="7"/>
        <v>0</v>
      </c>
      <c r="K66" s="22" t="str">
        <f t="shared" si="6"/>
        <v/>
      </c>
    </row>
    <row r="67" spans="1:20" hidden="1">
      <c r="A67" s="20">
        <f t="shared" si="8"/>
        <v>0</v>
      </c>
      <c r="B67" s="19"/>
      <c r="C67" s="36"/>
      <c r="D67" s="37"/>
      <c r="E67" s="19">
        <f>IF(A67&lt;=ReferenceTable!$H$1,ROUNDUP(C67*48,0),ROUNDDOWN(C67*48,0))</f>
        <v>0</v>
      </c>
      <c r="F67" s="38">
        <f t="shared" si="9"/>
        <v>0</v>
      </c>
      <c r="G67" s="39">
        <f t="shared" si="4"/>
        <v>0</v>
      </c>
      <c r="H67" s="39">
        <f t="shared" si="10"/>
        <v>0</v>
      </c>
      <c r="I67" s="31">
        <f t="shared" si="5"/>
        <v>0</v>
      </c>
      <c r="J67" s="31">
        <f t="shared" si="7"/>
        <v>0</v>
      </c>
      <c r="K67" s="22" t="str">
        <f t="shared" si="6"/>
        <v/>
      </c>
    </row>
    <row r="68" spans="1:20" hidden="1">
      <c r="A68" s="20">
        <f t="shared" si="8"/>
        <v>0</v>
      </c>
      <c r="B68" s="19"/>
      <c r="C68" s="36"/>
      <c r="D68" s="37"/>
      <c r="E68" s="19">
        <f>IF(A68&lt;=ReferenceTable!$H$1,ROUNDUP(C68*48,0),ROUNDDOWN(C68*48,0))</f>
        <v>0</v>
      </c>
      <c r="F68" s="38">
        <f t="shared" si="9"/>
        <v>0</v>
      </c>
      <c r="G68" s="39">
        <f t="shared" si="4"/>
        <v>0</v>
      </c>
      <c r="H68" s="39">
        <f t="shared" si="10"/>
        <v>0</v>
      </c>
      <c r="I68" s="31">
        <f t="shared" si="5"/>
        <v>0</v>
      </c>
      <c r="J68" s="31">
        <f t="shared" si="7"/>
        <v>0</v>
      </c>
      <c r="K68" s="22" t="str">
        <f t="shared" si="6"/>
        <v/>
      </c>
    </row>
    <row r="69" spans="1:20" hidden="1">
      <c r="A69" s="20">
        <f t="shared" si="8"/>
        <v>0</v>
      </c>
      <c r="B69" s="19"/>
      <c r="C69" s="36"/>
      <c r="D69" s="37"/>
      <c r="E69" s="19">
        <f>IF(A69&lt;=ReferenceTable!$H$1,ROUNDUP(C69*48,0),ROUNDDOWN(C69*48,0))</f>
        <v>0</v>
      </c>
      <c r="F69" s="38">
        <f t="shared" si="9"/>
        <v>0</v>
      </c>
      <c r="G69" s="39">
        <f t="shared" si="4"/>
        <v>0</v>
      </c>
      <c r="H69" s="39">
        <f t="shared" si="10"/>
        <v>0</v>
      </c>
      <c r="I69" s="31">
        <f t="shared" si="5"/>
        <v>0</v>
      </c>
      <c r="J69" s="31">
        <f t="shared" si="7"/>
        <v>0</v>
      </c>
      <c r="K69" s="22" t="str">
        <f t="shared" si="6"/>
        <v/>
      </c>
    </row>
    <row r="70" spans="1:20" hidden="1">
      <c r="A70" s="20">
        <f t="shared" si="8"/>
        <v>0</v>
      </c>
      <c r="B70" s="19"/>
      <c r="C70" s="36"/>
      <c r="D70" s="37"/>
      <c r="E70" s="19">
        <f>IF(A70&lt;=ReferenceTable!$H$1,ROUNDUP(C70*48,0),ROUNDDOWN(C70*48,0))</f>
        <v>0</v>
      </c>
      <c r="F70" s="38">
        <f t="shared" si="9"/>
        <v>0</v>
      </c>
      <c r="G70" s="39">
        <f t="shared" si="4"/>
        <v>0</v>
      </c>
      <c r="H70" s="39">
        <f t="shared" si="10"/>
        <v>0</v>
      </c>
      <c r="I70" s="31">
        <f t="shared" si="5"/>
        <v>0</v>
      </c>
      <c r="J70" s="31">
        <f t="shared" si="7"/>
        <v>0</v>
      </c>
      <c r="K70" s="22" t="str">
        <f t="shared" si="6"/>
        <v/>
      </c>
    </row>
    <row r="71" spans="1:20" hidden="1">
      <c r="A71" s="20">
        <f t="shared" si="8"/>
        <v>0</v>
      </c>
      <c r="B71" s="19"/>
      <c r="C71" s="36"/>
      <c r="D71" s="37"/>
      <c r="E71" s="19">
        <f>IF(A71&lt;=ReferenceTable!$H$1,ROUNDUP(C71*48,0),ROUNDDOWN(C71*48,0))</f>
        <v>0</v>
      </c>
      <c r="F71" s="38">
        <f t="shared" si="9"/>
        <v>0</v>
      </c>
      <c r="G71" s="39">
        <f t="shared" si="4"/>
        <v>0</v>
      </c>
      <c r="H71" s="39">
        <f t="shared" si="10"/>
        <v>0</v>
      </c>
      <c r="I71" s="31">
        <f t="shared" si="5"/>
        <v>0</v>
      </c>
      <c r="J71" s="31">
        <f t="shared" si="7"/>
        <v>0</v>
      </c>
      <c r="K71" s="22" t="str">
        <f t="shared" si="6"/>
        <v/>
      </c>
    </row>
    <row r="72" spans="1:20" hidden="1">
      <c r="A72" s="20">
        <f t="shared" si="8"/>
        <v>0</v>
      </c>
      <c r="B72" s="19"/>
      <c r="C72" s="36"/>
      <c r="D72" s="37"/>
      <c r="E72" s="19">
        <f>IF(A72&lt;=ReferenceTable!$H$1,ROUNDUP(C72*48,0),ROUNDDOWN(C72*48,0))</f>
        <v>0</v>
      </c>
      <c r="F72" s="38">
        <f t="shared" si="9"/>
        <v>0</v>
      </c>
      <c r="G72" s="39">
        <f t="shared" si="4"/>
        <v>0</v>
      </c>
      <c r="H72" s="39">
        <f t="shared" si="10"/>
        <v>0</v>
      </c>
      <c r="I72" s="31">
        <f t="shared" si="5"/>
        <v>0</v>
      </c>
      <c r="J72" s="31">
        <f t="shared" si="7"/>
        <v>0</v>
      </c>
      <c r="K72" s="22" t="str">
        <f t="shared" si="6"/>
        <v/>
      </c>
    </row>
    <row r="73" spans="1:20" hidden="1">
      <c r="A73" s="20">
        <f t="shared" si="8"/>
        <v>0</v>
      </c>
      <c r="B73" s="19"/>
      <c r="C73" s="36"/>
      <c r="D73" s="37"/>
      <c r="E73" s="19">
        <f>IF(A73&lt;=ReferenceTable!$H$1,ROUNDUP(C73*48,0),ROUNDDOWN(C73*48,0))</f>
        <v>0</v>
      </c>
      <c r="F73" s="38">
        <f t="shared" si="9"/>
        <v>0</v>
      </c>
      <c r="G73" s="39">
        <f t="shared" si="4"/>
        <v>0</v>
      </c>
      <c r="H73" s="39">
        <f t="shared" si="10"/>
        <v>0</v>
      </c>
      <c r="I73" s="31">
        <f t="shared" si="5"/>
        <v>0</v>
      </c>
      <c r="J73" s="31">
        <f t="shared" si="7"/>
        <v>0</v>
      </c>
      <c r="K73" s="22" t="str">
        <f t="shared" si="6"/>
        <v/>
      </c>
    </row>
    <row r="74" spans="1:20" hidden="1">
      <c r="A74" s="20">
        <f t="shared" si="8"/>
        <v>0</v>
      </c>
      <c r="B74" s="19"/>
      <c r="C74" s="36"/>
      <c r="D74" s="37"/>
      <c r="E74" s="19">
        <f>IF(A74&lt;=ReferenceTable!$H$1,ROUNDUP(C74*48,0),ROUNDDOWN(C74*48,0))</f>
        <v>0</v>
      </c>
      <c r="F74" s="38">
        <f t="shared" si="9"/>
        <v>0</v>
      </c>
      <c r="G74" s="39">
        <f t="shared" si="4"/>
        <v>0</v>
      </c>
      <c r="H74" s="39">
        <f t="shared" si="10"/>
        <v>0</v>
      </c>
      <c r="I74" s="31">
        <f t="shared" si="5"/>
        <v>0</v>
      </c>
      <c r="J74" s="31">
        <f t="shared" si="7"/>
        <v>0</v>
      </c>
      <c r="K74" s="22" t="str">
        <f t="shared" si="6"/>
        <v/>
      </c>
    </row>
    <row r="75" spans="1:20" s="1" customFormat="1" ht="15.75" hidden="1"/>
    <row r="76" spans="1:20" s="1" customFormat="1" ht="15.75" hidden="1">
      <c r="E76" s="2"/>
    </row>
    <row r="77" spans="1:20" ht="15.75">
      <c r="A77" s="24" t="s">
        <v>15</v>
      </c>
      <c r="B77" s="24"/>
      <c r="C77" s="32">
        <f>SUM(C27:C74)</f>
        <v>1</v>
      </c>
      <c r="D77" s="35"/>
      <c r="E77" s="34">
        <f>SUM(E27:E74)</f>
        <v>48</v>
      </c>
      <c r="F77" s="34">
        <f>SUM($F$27:$F$74)</f>
        <v>125000</v>
      </c>
      <c r="G77" s="24"/>
      <c r="H77" s="33"/>
      <c r="I77" s="24"/>
      <c r="J77" s="24"/>
    </row>
    <row r="78" spans="1:20" s="1" customFormat="1" ht="15.75" hidden="1">
      <c r="C78" s="1">
        <f>IF($C$77=1,0,"Percentage Must Add Up to 100%")</f>
        <v>0</v>
      </c>
    </row>
    <row r="79" spans="1:20">
      <c r="E79" s="12"/>
      <c r="F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 ht="20.25">
      <c r="A80" s="27" t="s">
        <v>37</v>
      </c>
      <c r="B80" s="53"/>
      <c r="C80" s="54"/>
      <c r="D80" s="54"/>
      <c r="E80" s="54"/>
      <c r="F80" s="54"/>
      <c r="G80" s="54"/>
      <c r="H80" s="54"/>
      <c r="I80" s="54"/>
      <c r="J80" s="55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28"/>
      <c r="B81" s="56"/>
      <c r="C81" s="57"/>
      <c r="D81" s="57"/>
      <c r="E81" s="57"/>
      <c r="F81" s="57"/>
      <c r="G81" s="57"/>
      <c r="H81" s="57"/>
      <c r="I81" s="57"/>
      <c r="J81" s="58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28"/>
      <c r="B82" s="56"/>
      <c r="C82" s="57"/>
      <c r="D82" s="57"/>
      <c r="E82" s="57"/>
      <c r="F82" s="57"/>
      <c r="G82" s="57"/>
      <c r="H82" s="57"/>
      <c r="I82" s="57"/>
      <c r="J82" s="58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28"/>
      <c r="B83" s="56"/>
      <c r="C83" s="57"/>
      <c r="D83" s="57"/>
      <c r="E83" s="57"/>
      <c r="F83" s="57"/>
      <c r="G83" s="57"/>
      <c r="H83" s="57"/>
      <c r="I83" s="57"/>
      <c r="J83" s="58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28"/>
      <c r="B84" s="56"/>
      <c r="C84" s="57"/>
      <c r="D84" s="57"/>
      <c r="E84" s="57"/>
      <c r="F84" s="57"/>
      <c r="G84" s="57"/>
      <c r="H84" s="57"/>
      <c r="I84" s="57"/>
      <c r="J84" s="58"/>
    </row>
    <row r="85" spans="1:20">
      <c r="A85" s="28"/>
      <c r="B85" s="56"/>
      <c r="C85" s="57"/>
      <c r="D85" s="57"/>
      <c r="E85" s="57"/>
      <c r="F85" s="57"/>
      <c r="G85" s="57"/>
      <c r="H85" s="57"/>
      <c r="I85" s="57"/>
      <c r="J85" s="58"/>
    </row>
    <row r="86" spans="1:20">
      <c r="A86" s="28"/>
      <c r="B86" s="56"/>
      <c r="C86" s="57"/>
      <c r="D86" s="57"/>
      <c r="E86" s="57"/>
      <c r="F86" s="57"/>
      <c r="G86" s="57"/>
      <c r="H86" s="57"/>
      <c r="I86" s="57"/>
      <c r="J86" s="58"/>
    </row>
    <row r="87" spans="1:20">
      <c r="A87" s="28"/>
      <c r="B87" s="56"/>
      <c r="C87" s="57"/>
      <c r="D87" s="57"/>
      <c r="E87" s="57"/>
      <c r="F87" s="57"/>
      <c r="G87" s="57"/>
      <c r="H87" s="57"/>
      <c r="I87" s="57"/>
      <c r="J87" s="58"/>
    </row>
    <row r="88" spans="1:20">
      <c r="A88" s="28"/>
      <c r="B88" s="56"/>
      <c r="C88" s="57"/>
      <c r="D88" s="57"/>
      <c r="E88" s="57"/>
      <c r="F88" s="57"/>
      <c r="G88" s="57"/>
      <c r="H88" s="57"/>
      <c r="I88" s="57"/>
      <c r="J88" s="58"/>
    </row>
    <row r="89" spans="1:20">
      <c r="A89" s="28"/>
      <c r="B89" s="56"/>
      <c r="C89" s="57"/>
      <c r="D89" s="57"/>
      <c r="E89" s="57"/>
      <c r="F89" s="57"/>
      <c r="G89" s="57"/>
      <c r="H89" s="57"/>
      <c r="I89" s="57"/>
      <c r="J89" s="58"/>
    </row>
    <row r="90" spans="1:20">
      <c r="A90" s="28"/>
      <c r="B90" s="59"/>
      <c r="C90" s="60"/>
      <c r="D90" s="60"/>
      <c r="E90" s="60"/>
      <c r="F90" s="60"/>
      <c r="G90" s="60"/>
      <c r="H90" s="60"/>
      <c r="I90" s="60"/>
      <c r="J90" s="61"/>
    </row>
  </sheetData>
  <sheetProtection sheet="1" objects="1" scenarios="1" sort="0" autoFilter="0" pivotTables="0"/>
  <protectedRanges>
    <protectedRange sqref="C23:C24 B27:E74" name="Customer_Info"/>
    <protectedRange sqref="B80" name="Customer_Info_1"/>
  </protectedRanges>
  <autoFilter ref="A26:A78" xr:uid="{00000000-0009-0000-0000-000000000000}">
    <filterColumn colId="0">
      <customFilters>
        <customFilter operator="notEqual" val=" "/>
      </customFilters>
    </filterColumn>
  </autoFilter>
  <mergeCells count="13">
    <mergeCell ref="B80:J90"/>
    <mergeCell ref="C18:I18"/>
    <mergeCell ref="C9:I9"/>
    <mergeCell ref="C10:I10"/>
    <mergeCell ref="C11:I11"/>
    <mergeCell ref="C12:I12"/>
    <mergeCell ref="C13:I13"/>
    <mergeCell ref="F23:I23"/>
    <mergeCell ref="F24:I24"/>
    <mergeCell ref="C20:I20"/>
    <mergeCell ref="C14:I14"/>
    <mergeCell ref="B15:I17"/>
    <mergeCell ref="C19:I19"/>
  </mergeCells>
  <conditionalFormatting sqref="K84:T84">
    <cfRule type="colorScale" priority="8">
      <colorScale>
        <cfvo type="min"/>
        <cfvo type="percentile" val="50"/>
        <cfvo type="max"/>
        <color theme="8"/>
        <color rgb="FFFF0000"/>
        <color rgb="FF63BE7B"/>
      </colorScale>
    </cfRule>
  </conditionalFormatting>
  <conditionalFormatting sqref="K80:T83">
    <cfRule type="colorScale" priority="7">
      <colorScale>
        <cfvo type="min"/>
        <cfvo type="percentile" val="50"/>
        <cfvo type="max"/>
        <color rgb="FF7030A0"/>
        <color theme="7" tint="0.59999389629810485"/>
        <color theme="9" tint="-0.249977111117893"/>
      </colorScale>
    </cfRule>
  </conditionalFormatting>
  <conditionalFormatting sqref="F27:J74 F23:F24">
    <cfRule type="expression" dxfId="18" priority="6" stopIfTrue="1">
      <formula>OR(NOT(AND($C$77&gt;0.99,$C$77&lt;1.01)),COUNTIF($C$27:$C$74,"&gt;0")&lt;&gt;$C$23,(COUNTIF($C$27:$C$74,"&lt;0.020834")))</formula>
    </cfRule>
  </conditionalFormatting>
  <conditionalFormatting sqref="L18:W25">
    <cfRule type="colorScale" priority="5">
      <colorScale>
        <cfvo type="min"/>
        <cfvo type="percentile" val="50"/>
        <cfvo type="max"/>
        <color rgb="FF7030A0"/>
        <color rgb="FFFFEB84"/>
        <color rgb="FF63BE7B"/>
      </colorScale>
    </cfRule>
  </conditionalFormatting>
  <conditionalFormatting sqref="K27:K74">
    <cfRule type="notContainsBlanks" dxfId="17" priority="10" stopIfTrue="1">
      <formula>LEN(TRIM(K27))&gt;0</formula>
    </cfRule>
  </conditionalFormatting>
  <conditionalFormatting sqref="C27:C74">
    <cfRule type="expression" dxfId="16" priority="1">
      <formula>AND(C27&lt;0.020832,C27&lt;&gt;0)</formula>
    </cfRule>
  </conditionalFormatting>
  <pageMargins left="0.42534722222222221" right="0.7" top="0.75" bottom="0.75" header="0.3" footer="0.3"/>
  <pageSetup scale="51" orientation="landscape" r:id="rId1"/>
  <headerFooter>
    <oddHeader>&amp;L&amp;"M PLUS 2,Regular"&amp;12&amp;K525252Parse Biosciences
700 Dexter Ave
Suite 600
Seattle, WA 98109&amp;C&amp;G
&amp;R&amp;"M PLUS 2,Regular"&amp;12&amp;K525252Support Suite:  support.parsebiosciences.com
Email: support@parsebiosciences.com
WT  - Version 2.0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S71"/>
  <sheetViews>
    <sheetView showGridLines="0" view="pageLayout" topLeftCell="A3" zoomScale="90" zoomScaleNormal="74" zoomScalePageLayoutView="90" workbookViewId="0">
      <selection activeCell="A32" sqref="A32"/>
    </sheetView>
  </sheetViews>
  <sheetFormatPr defaultColWidth="8.85546875" defaultRowHeight="15.75"/>
  <cols>
    <col min="1" max="1" width="13.42578125" style="1" customWidth="1"/>
    <col min="2" max="13" width="8.85546875" style="1"/>
    <col min="14" max="14" width="8.85546875" style="1" customWidth="1"/>
    <col min="15" max="15" width="8.85546875" style="1"/>
    <col min="16" max="16" width="11.85546875" style="1" bestFit="1" customWidth="1"/>
    <col min="17" max="18" width="14.28515625" style="1" bestFit="1" customWidth="1"/>
    <col min="19" max="19" width="26.7109375" style="1" bestFit="1" customWidth="1"/>
    <col min="20" max="16384" width="8.85546875" style="1"/>
  </cols>
  <sheetData>
    <row r="2" spans="1:19" s="9" customFormat="1" ht="42" customHeight="1">
      <c r="A2" s="40" t="s">
        <v>42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9" s="9" customFormat="1" ht="17.45" customHeight="1">
      <c r="A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9" s="9" customFormat="1" ht="18">
      <c r="A4" s="11"/>
      <c r="B4" s="15" t="s">
        <v>39</v>
      </c>
    </row>
    <row r="5" spans="1:19" s="9" customFormat="1" ht="17.45" customHeight="1">
      <c r="A5" s="41"/>
      <c r="B5" s="16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</row>
    <row r="6" spans="1:19" s="9" customFormat="1" ht="17.45" customHeight="1">
      <c r="A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7" spans="1:19" s="9" customFormat="1" ht="20.25">
      <c r="A7" s="42" t="s">
        <v>43</v>
      </c>
    </row>
    <row r="8" spans="1:19" ht="17.45" customHeight="1"/>
    <row r="9" spans="1:19">
      <c r="C9" s="43">
        <v>1</v>
      </c>
      <c r="D9" s="43">
        <f>C9+1</f>
        <v>2</v>
      </c>
      <c r="E9" s="43">
        <f t="shared" ref="E9:N9" si="0">D9+1</f>
        <v>3</v>
      </c>
      <c r="F9" s="43">
        <f t="shared" si="0"/>
        <v>4</v>
      </c>
      <c r="G9" s="43">
        <f t="shared" si="0"/>
        <v>5</v>
      </c>
      <c r="H9" s="43">
        <f t="shared" si="0"/>
        <v>6</v>
      </c>
      <c r="I9" s="43">
        <f t="shared" si="0"/>
        <v>7</v>
      </c>
      <c r="J9" s="43">
        <f t="shared" si="0"/>
        <v>8</v>
      </c>
      <c r="K9" s="43">
        <f t="shared" si="0"/>
        <v>9</v>
      </c>
      <c r="L9" s="43">
        <f t="shared" si="0"/>
        <v>10</v>
      </c>
      <c r="M9" s="43">
        <f>L9+1</f>
        <v>11</v>
      </c>
      <c r="N9" s="43">
        <f t="shared" si="0"/>
        <v>12</v>
      </c>
      <c r="P9" s="1" t="s">
        <v>5</v>
      </c>
      <c r="Q9" s="1" t="s">
        <v>0</v>
      </c>
      <c r="R9" s="1" t="s">
        <v>7</v>
      </c>
      <c r="S9" s="1" t="s">
        <v>6</v>
      </c>
    </row>
    <row r="10" spans="1:19">
      <c r="B10" s="43" t="s">
        <v>1</v>
      </c>
      <c r="C10" s="44">
        <f>Q10</f>
        <v>1</v>
      </c>
      <c r="D10" s="45">
        <f>Q11</f>
        <v>1</v>
      </c>
      <c r="E10" s="45">
        <f ca="1">Q12</f>
        <v>1</v>
      </c>
      <c r="F10" s="45">
        <f ca="1">Q13</f>
        <v>2</v>
      </c>
      <c r="G10" s="45">
        <f ca="1">Q14</f>
        <v>2</v>
      </c>
      <c r="H10" s="45">
        <f ca="1">Q15</f>
        <v>2</v>
      </c>
      <c r="I10" s="45">
        <f ca="1">Q16</f>
        <v>3</v>
      </c>
      <c r="J10" s="45">
        <f ca="1">Q17</f>
        <v>3</v>
      </c>
      <c r="K10" s="45">
        <f ca="1">Q18</f>
        <v>3</v>
      </c>
      <c r="L10" s="45">
        <f ca="1">Q19</f>
        <v>4</v>
      </c>
      <c r="M10" s="45">
        <f ca="1">Q20</f>
        <v>4</v>
      </c>
      <c r="N10" s="46">
        <f ca="1">Q23</f>
        <v>4</v>
      </c>
      <c r="P10" s="1">
        <v>1</v>
      </c>
      <c r="Q10" s="1">
        <f>1</f>
        <v>1</v>
      </c>
      <c r="R10" s="1">
        <f>'Sample Loading Table'!E27</f>
        <v>3</v>
      </c>
      <c r="S10" s="1">
        <f>COUNTIF($Q$10:Q10,Q10)</f>
        <v>1</v>
      </c>
    </row>
    <row r="11" spans="1:19">
      <c r="B11" s="43" t="s">
        <v>2</v>
      </c>
      <c r="C11" s="47">
        <f ca="1">Q24</f>
        <v>5</v>
      </c>
      <c r="D11" s="48">
        <f ca="1">Q25</f>
        <v>5</v>
      </c>
      <c r="E11" s="48">
        <f ca="1">Q26</f>
        <v>5</v>
      </c>
      <c r="F11" s="48">
        <f ca="1">Q27</f>
        <v>6</v>
      </c>
      <c r="G11" s="48">
        <f ca="1">Q28</f>
        <v>6</v>
      </c>
      <c r="H11" s="48">
        <f ca="1">Q29</f>
        <v>6</v>
      </c>
      <c r="I11" s="48">
        <f ca="1">Q30</f>
        <v>7</v>
      </c>
      <c r="J11" s="48">
        <f ca="1">Q31</f>
        <v>7</v>
      </c>
      <c r="K11" s="48">
        <f ca="1">Q32</f>
        <v>7</v>
      </c>
      <c r="L11" s="48">
        <f ca="1">Q33</f>
        <v>8</v>
      </c>
      <c r="M11" s="48">
        <f ca="1">Q34</f>
        <v>8</v>
      </c>
      <c r="N11" s="49">
        <f ca="1">Q35</f>
        <v>8</v>
      </c>
      <c r="P11" s="1">
        <f>P10+1</f>
        <v>2</v>
      </c>
      <c r="Q11" s="1">
        <f>IF(R10=S10,Q10+1,Q10)</f>
        <v>1</v>
      </c>
      <c r="R11" s="1">
        <f ca="1">IF(R10=S10,OFFSET('Sample Loading Table'!$E$26,Q11,0),R10)</f>
        <v>3</v>
      </c>
      <c r="S11" s="1">
        <f>COUNTIF($Q$10:Q11,Q11)</f>
        <v>2</v>
      </c>
    </row>
    <row r="12" spans="1:19">
      <c r="B12" s="43" t="s">
        <v>3</v>
      </c>
      <c r="C12" s="47">
        <f ca="1">Q36</f>
        <v>9</v>
      </c>
      <c r="D12" s="48">
        <f ca="1">Q37</f>
        <v>9</v>
      </c>
      <c r="E12" s="48">
        <f ca="1">Q38</f>
        <v>9</v>
      </c>
      <c r="F12" s="48">
        <f ca="1">Q39</f>
        <v>10</v>
      </c>
      <c r="G12" s="48">
        <f ca="1">Q40</f>
        <v>10</v>
      </c>
      <c r="H12" s="48">
        <f ca="1">Q41</f>
        <v>10</v>
      </c>
      <c r="I12" s="48">
        <f ca="1">Q42</f>
        <v>11</v>
      </c>
      <c r="J12" s="48">
        <f ca="1">Q43</f>
        <v>11</v>
      </c>
      <c r="K12" s="48">
        <f ca="1">Q44</f>
        <v>11</v>
      </c>
      <c r="L12" s="48">
        <f ca="1">Q45</f>
        <v>12</v>
      </c>
      <c r="M12" s="48">
        <f ca="1">Q46</f>
        <v>12</v>
      </c>
      <c r="N12" s="49">
        <f ca="1">Q47</f>
        <v>12</v>
      </c>
      <c r="P12" s="1">
        <f t="shared" ref="P12:P59" si="1">P11+1</f>
        <v>3</v>
      </c>
      <c r="Q12" s="1">
        <f t="shared" ref="Q12:Q24" ca="1" si="2">IF(R11=S11,Q11+1,Q11)</f>
        <v>1</v>
      </c>
      <c r="R12" s="1">
        <f ca="1">IF(R11=S11,OFFSET('Sample Loading Table'!$E$26,Q12,0),R11)</f>
        <v>3</v>
      </c>
      <c r="S12" s="1">
        <f ca="1">COUNTIF($Q$10:Q12,Q12)</f>
        <v>3</v>
      </c>
    </row>
    <row r="13" spans="1:19" ht="16.5" thickBot="1">
      <c r="B13" s="43" t="s">
        <v>4</v>
      </c>
      <c r="C13" s="50">
        <f ca="1">Q48</f>
        <v>13</v>
      </c>
      <c r="D13" s="51">
        <f ca="1">Q49</f>
        <v>13</v>
      </c>
      <c r="E13" s="51">
        <f ca="1">Q50</f>
        <v>13</v>
      </c>
      <c r="F13" s="51">
        <f ca="1">Q51</f>
        <v>14</v>
      </c>
      <c r="G13" s="51">
        <f ca="1">Q52</f>
        <v>14</v>
      </c>
      <c r="H13" s="51">
        <f ca="1">Q53</f>
        <v>14</v>
      </c>
      <c r="I13" s="51">
        <f ca="1">Q54</f>
        <v>15</v>
      </c>
      <c r="J13" s="51">
        <f ca="1">Q55</f>
        <v>15</v>
      </c>
      <c r="K13" s="51">
        <f ca="1">Q56</f>
        <v>15</v>
      </c>
      <c r="L13" s="51">
        <f ca="1">Q57</f>
        <v>16</v>
      </c>
      <c r="M13" s="51">
        <f ca="1">Q58</f>
        <v>16</v>
      </c>
      <c r="N13" s="52">
        <f ca="1">Q59</f>
        <v>16</v>
      </c>
      <c r="P13" s="1">
        <f t="shared" si="1"/>
        <v>4</v>
      </c>
      <c r="Q13" s="1">
        <f t="shared" ca="1" si="2"/>
        <v>2</v>
      </c>
      <c r="R13" s="1">
        <f ca="1">IF(R12=S12,OFFSET('Sample Loading Table'!$E$26,Q13,0),R12)</f>
        <v>3</v>
      </c>
      <c r="S13" s="1">
        <f ca="1">COUNTIF($Q$10:Q13,Q13)</f>
        <v>1</v>
      </c>
    </row>
    <row r="14" spans="1:19">
      <c r="B14" s="43" t="s">
        <v>8</v>
      </c>
      <c r="C14" s="3"/>
      <c r="D14" s="4"/>
      <c r="E14" s="4"/>
      <c r="F14" s="4"/>
      <c r="G14" s="4"/>
      <c r="H14" s="4"/>
      <c r="I14" s="4"/>
      <c r="J14" s="4"/>
      <c r="K14" s="4"/>
      <c r="L14" s="4"/>
      <c r="M14" s="4"/>
      <c r="N14" s="5"/>
      <c r="P14" s="1">
        <f t="shared" si="1"/>
        <v>5</v>
      </c>
      <c r="Q14" s="1">
        <f t="shared" ca="1" si="2"/>
        <v>2</v>
      </c>
      <c r="R14" s="1">
        <f ca="1">IF(R13=S13,OFFSET('Sample Loading Table'!$E$26,Q14,0),R13)</f>
        <v>3</v>
      </c>
      <c r="S14" s="1">
        <f ca="1">COUNTIF($Q$10:Q14,Q14)</f>
        <v>2</v>
      </c>
    </row>
    <row r="15" spans="1:19">
      <c r="B15" s="43" t="s">
        <v>9</v>
      </c>
      <c r="C15" s="3"/>
      <c r="D15" s="4"/>
      <c r="E15" s="4"/>
      <c r="F15" s="4"/>
      <c r="G15" s="4"/>
      <c r="H15" s="4"/>
      <c r="I15" s="4"/>
      <c r="J15" s="4"/>
      <c r="K15" s="4"/>
      <c r="L15" s="4"/>
      <c r="M15" s="4"/>
      <c r="N15" s="5"/>
      <c r="P15" s="1">
        <f t="shared" si="1"/>
        <v>6</v>
      </c>
      <c r="Q15" s="1">
        <f t="shared" ca="1" si="2"/>
        <v>2</v>
      </c>
      <c r="R15" s="1">
        <f ca="1">IF(R14=S14,OFFSET('Sample Loading Table'!$E$26,Q15,0),R14)</f>
        <v>3</v>
      </c>
      <c r="S15" s="1">
        <f ca="1">COUNTIF($Q$10:Q15,Q15)</f>
        <v>3</v>
      </c>
    </row>
    <row r="16" spans="1:19">
      <c r="B16" s="43" t="s">
        <v>10</v>
      </c>
      <c r="C16" s="3"/>
      <c r="D16" s="4"/>
      <c r="E16" s="4"/>
      <c r="F16" s="4"/>
      <c r="G16" s="4"/>
      <c r="H16" s="4"/>
      <c r="I16" s="4"/>
      <c r="J16" s="4"/>
      <c r="K16" s="4"/>
      <c r="L16" s="4"/>
      <c r="M16" s="4"/>
      <c r="N16" s="5"/>
      <c r="P16" s="1">
        <f t="shared" si="1"/>
        <v>7</v>
      </c>
      <c r="Q16" s="1">
        <f t="shared" ca="1" si="2"/>
        <v>3</v>
      </c>
      <c r="R16" s="1">
        <f ca="1">IF(R15=S15,OFFSET('Sample Loading Table'!$E$26,Q16,0),R15)</f>
        <v>3</v>
      </c>
      <c r="S16" s="1">
        <f ca="1">COUNTIF($Q$10:Q16,Q16)</f>
        <v>1</v>
      </c>
    </row>
    <row r="17" spans="2:19">
      <c r="B17" s="43" t="s">
        <v>11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7"/>
      <c r="N17" s="8"/>
      <c r="P17" s="1">
        <f t="shared" si="1"/>
        <v>8</v>
      </c>
      <c r="Q17" s="1">
        <f ca="1">IF(R16=S16,Q16+1,Q16)</f>
        <v>3</v>
      </c>
      <c r="R17" s="1">
        <f ca="1">IF(R16=S16,OFFSET('Sample Loading Table'!$E$26,Q17,0),R16)</f>
        <v>3</v>
      </c>
      <c r="S17" s="1">
        <f ca="1">COUNTIF($Q$10:Q17,Q17)</f>
        <v>2</v>
      </c>
    </row>
    <row r="18" spans="2:19">
      <c r="P18" s="1">
        <f t="shared" si="1"/>
        <v>9</v>
      </c>
      <c r="Q18" s="1">
        <f t="shared" ca="1" si="2"/>
        <v>3</v>
      </c>
      <c r="R18" s="1">
        <f ca="1">IF(R17=S17,OFFSET('Sample Loading Table'!$E$26,Q18,0),R17)</f>
        <v>3</v>
      </c>
      <c r="S18" s="1">
        <f ca="1">COUNTIF($Q$10:Q18,Q18)</f>
        <v>3</v>
      </c>
    </row>
    <row r="19" spans="2:19">
      <c r="C19" s="81">
        <f>'Sample Loading Table'!F23</f>
        <v>0</v>
      </c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P19" s="1">
        <f t="shared" si="1"/>
        <v>10</v>
      </c>
      <c r="Q19" s="1">
        <f t="shared" ca="1" si="2"/>
        <v>4</v>
      </c>
      <c r="R19" s="1">
        <f ca="1">IF(R18=S18,OFFSET('Sample Loading Table'!$E$26,Q19,0),R18)</f>
        <v>3</v>
      </c>
      <c r="S19" s="1">
        <f ca="1">COUNTIF($Q$10:Q19,Q19)</f>
        <v>1</v>
      </c>
    </row>
    <row r="20" spans="2:19" ht="18.600000000000001" customHeight="1">
      <c r="C20" s="78">
        <f>'Sample Loading Table'!F24</f>
        <v>0</v>
      </c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P20" s="1">
        <f t="shared" si="1"/>
        <v>11</v>
      </c>
      <c r="Q20" s="1">
        <f t="shared" ca="1" si="2"/>
        <v>4</v>
      </c>
      <c r="R20" s="1">
        <f ca="1">IF(R19=S19,OFFSET('Sample Loading Table'!$E$26,Q20,0),R19)</f>
        <v>3</v>
      </c>
      <c r="S20" s="1">
        <f ca="1">COUNTIF($Q$10:Q20,Q20)</f>
        <v>2</v>
      </c>
    </row>
    <row r="21" spans="2:19" ht="18.600000000000001" customHeight="1">
      <c r="C21" s="78" t="str">
        <f>(IF(C19=0,"","Please address the warning message on the Sample Loading Table to avoid experimental error"))</f>
        <v/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</row>
    <row r="23" spans="2:19" ht="21.95" customHeight="1">
      <c r="C23" s="79" t="s">
        <v>0</v>
      </c>
      <c r="D23" s="79"/>
      <c r="E23" s="79" t="s">
        <v>12</v>
      </c>
      <c r="F23" s="79"/>
      <c r="G23" s="79"/>
      <c r="H23" s="79" t="s">
        <v>14</v>
      </c>
      <c r="I23" s="79"/>
      <c r="J23" s="79"/>
      <c r="P23" s="1">
        <f>P20+1</f>
        <v>12</v>
      </c>
      <c r="Q23" s="1">
        <f ca="1">IF(R20=S20,Q20+1,Q20)</f>
        <v>4</v>
      </c>
      <c r="R23" s="1">
        <f ca="1">IF(R20=S20,OFFSET('Sample Loading Table'!$E$26,Q23,0),R20)</f>
        <v>3</v>
      </c>
      <c r="S23" s="1">
        <f ca="1">COUNTIF($Q$10:Q23,Q23)</f>
        <v>3</v>
      </c>
    </row>
    <row r="24" spans="2:19">
      <c r="C24" s="77">
        <f>IF(OR((H24=0),(ISBLANK(H24))),"",'Sample Loading Table'!A27)</f>
        <v>1</v>
      </c>
      <c r="D24" s="77"/>
      <c r="E24" s="78">
        <f>IF(OR((H24=0),(ISBLANK(H24))),"",'Sample Loading Table'!B27)</f>
        <v>1</v>
      </c>
      <c r="F24" s="78"/>
      <c r="G24" s="78"/>
      <c r="H24" s="80">
        <f>'Sample Loading Table'!C27</f>
        <v>6.25E-2</v>
      </c>
      <c r="I24" s="80"/>
      <c r="J24" s="80"/>
      <c r="P24" s="1">
        <f t="shared" si="1"/>
        <v>13</v>
      </c>
      <c r="Q24" s="1">
        <f t="shared" ca="1" si="2"/>
        <v>5</v>
      </c>
      <c r="R24" s="1">
        <f ca="1">IF(R23=S23,OFFSET('Sample Loading Table'!$E$26,Q24,0),R23)</f>
        <v>3</v>
      </c>
      <c r="S24" s="1">
        <f ca="1">COUNTIF($Q$10:Q24,Q24)</f>
        <v>1</v>
      </c>
    </row>
    <row r="25" spans="2:19">
      <c r="C25" s="77">
        <f>IF(OR((H25=0),(ISBLANK(H25))),"",'Sample Loading Table'!A28)</f>
        <v>2</v>
      </c>
      <c r="D25" s="77"/>
      <c r="E25" s="78">
        <f>IF(OR((H25=0),(ISBLANK(H25))),"",'Sample Loading Table'!B28)</f>
        <v>2</v>
      </c>
      <c r="F25" s="78"/>
      <c r="G25" s="78"/>
      <c r="H25" s="80">
        <f>'Sample Loading Table'!C28</f>
        <v>6.25E-2</v>
      </c>
      <c r="I25" s="80"/>
      <c r="J25" s="80"/>
      <c r="P25" s="1">
        <f t="shared" si="1"/>
        <v>14</v>
      </c>
      <c r="Q25" s="1">
        <f ca="1">IF(R24=S24,Q24+1,Q24)</f>
        <v>5</v>
      </c>
      <c r="R25" s="1">
        <f ca="1">IF(R24=S24,OFFSET('Sample Loading Table'!$E$26,Q25,0),R24)</f>
        <v>3</v>
      </c>
      <c r="S25" s="1">
        <f ca="1">COUNTIF($Q$10:Q25,Q25)</f>
        <v>2</v>
      </c>
    </row>
    <row r="26" spans="2:19">
      <c r="C26" s="77">
        <f>IF(OR((H26=0),(ISBLANK(H26))),"",'Sample Loading Table'!A29)</f>
        <v>3</v>
      </c>
      <c r="D26" s="77"/>
      <c r="E26" s="78">
        <f>IF(OR((H26=0),(ISBLANK(H26))),"",'Sample Loading Table'!B29)</f>
        <v>3</v>
      </c>
      <c r="F26" s="78"/>
      <c r="G26" s="78"/>
      <c r="H26" s="80">
        <f>'Sample Loading Table'!C29</f>
        <v>6.25E-2</v>
      </c>
      <c r="I26" s="80"/>
      <c r="J26" s="80"/>
      <c r="P26" s="1">
        <f t="shared" si="1"/>
        <v>15</v>
      </c>
      <c r="Q26" s="1">
        <f t="shared" ref="Q26:Q29" ca="1" si="3">IF(R25=S25,Q25+1,Q25)</f>
        <v>5</v>
      </c>
      <c r="R26" s="1">
        <f ca="1">IF(R25=S25,OFFSET('Sample Loading Table'!$E$26,Q26,0),R25)</f>
        <v>3</v>
      </c>
      <c r="S26" s="1">
        <f ca="1">COUNTIF($Q$10:Q26,Q26)</f>
        <v>3</v>
      </c>
    </row>
    <row r="27" spans="2:19">
      <c r="C27" s="77">
        <f>IF(OR((H27=0),(ISBLANK(H27))),"",'Sample Loading Table'!A30)</f>
        <v>4</v>
      </c>
      <c r="D27" s="77"/>
      <c r="E27" s="78">
        <f>IF(OR((H27=0),(ISBLANK(H27))),"",'Sample Loading Table'!B30)</f>
        <v>4</v>
      </c>
      <c r="F27" s="78"/>
      <c r="G27" s="78"/>
      <c r="H27" s="80">
        <f>'Sample Loading Table'!C30</f>
        <v>6.25E-2</v>
      </c>
      <c r="I27" s="80"/>
      <c r="J27" s="80"/>
      <c r="P27" s="1">
        <f t="shared" si="1"/>
        <v>16</v>
      </c>
      <c r="Q27" s="1">
        <f t="shared" ca="1" si="3"/>
        <v>6</v>
      </c>
      <c r="R27" s="1">
        <f ca="1">IF(R26=S26,OFFSET('Sample Loading Table'!$E$26,Q27,0),R26)</f>
        <v>3</v>
      </c>
      <c r="S27" s="1">
        <f ca="1">COUNTIF($Q$10:Q27,Q27)</f>
        <v>1</v>
      </c>
    </row>
    <row r="28" spans="2:19">
      <c r="C28" s="77">
        <f>IF(OR((H28=0),(ISBLANK(H28))),"",'Sample Loading Table'!A31)</f>
        <v>5</v>
      </c>
      <c r="D28" s="77"/>
      <c r="E28" s="78">
        <f>IF(OR((H28=0),(ISBLANK(H28))),"",'Sample Loading Table'!B31)</f>
        <v>7</v>
      </c>
      <c r="F28" s="78"/>
      <c r="G28" s="78"/>
      <c r="H28" s="80">
        <f>'Sample Loading Table'!C31</f>
        <v>6.25E-2</v>
      </c>
      <c r="I28" s="80"/>
      <c r="J28" s="80"/>
      <c r="P28" s="1">
        <f t="shared" si="1"/>
        <v>17</v>
      </c>
      <c r="Q28" s="1">
        <f t="shared" ca="1" si="3"/>
        <v>6</v>
      </c>
      <c r="R28" s="1">
        <f ca="1">IF(R27=S27,OFFSET('Sample Loading Table'!$E$26,Q28,0),R27)</f>
        <v>3</v>
      </c>
      <c r="S28" s="1">
        <f ca="1">COUNTIF($Q$10:Q28,Q28)</f>
        <v>2</v>
      </c>
    </row>
    <row r="29" spans="2:19">
      <c r="C29" s="77">
        <f>IF(OR((H29=0),(ISBLANK(H29))),"",'Sample Loading Table'!A32)</f>
        <v>6</v>
      </c>
      <c r="D29" s="77"/>
      <c r="E29" s="78">
        <f>IF(OR((H29=0),(ISBLANK(H29))),"",'Sample Loading Table'!B32)</f>
        <v>8</v>
      </c>
      <c r="F29" s="78"/>
      <c r="G29" s="78"/>
      <c r="H29" s="80">
        <f>'Sample Loading Table'!C32</f>
        <v>6.25E-2</v>
      </c>
      <c r="I29" s="80"/>
      <c r="J29" s="80"/>
      <c r="P29" s="1">
        <f t="shared" si="1"/>
        <v>18</v>
      </c>
      <c r="Q29" s="1">
        <f t="shared" ca="1" si="3"/>
        <v>6</v>
      </c>
      <c r="R29" s="1">
        <f ca="1">IF(R28=S28,OFFSET('Sample Loading Table'!$E$26,Q29,0),R28)</f>
        <v>3</v>
      </c>
      <c r="S29" s="1">
        <f ca="1">COUNTIF($Q$10:Q29,Q29)</f>
        <v>3</v>
      </c>
    </row>
    <row r="30" spans="2:19">
      <c r="C30" s="77">
        <f>IF(OR((H30=0),(ISBLANK(H30))),"",'Sample Loading Table'!A33)</f>
        <v>7</v>
      </c>
      <c r="D30" s="77"/>
      <c r="E30" s="78">
        <f>IF(OR((H30=0),(ISBLANK(H30))),"",'Sample Loading Table'!B33)</f>
        <v>10</v>
      </c>
      <c r="F30" s="78"/>
      <c r="G30" s="78"/>
      <c r="H30" s="80">
        <f>'Sample Loading Table'!C33</f>
        <v>6.25E-2</v>
      </c>
      <c r="I30" s="80"/>
      <c r="J30" s="80"/>
      <c r="P30" s="1">
        <f>P29+1</f>
        <v>19</v>
      </c>
      <c r="Q30" s="1">
        <f ca="1">IF(R29=S29,Q29+1,Q29)</f>
        <v>7</v>
      </c>
      <c r="R30" s="1">
        <f ca="1">IF(R29=S29,OFFSET('Sample Loading Table'!$E$26,Q30,0),R29)</f>
        <v>3</v>
      </c>
      <c r="S30" s="1">
        <f ca="1">COUNTIF($Q$10:Q30,Q30)</f>
        <v>1</v>
      </c>
    </row>
    <row r="31" spans="2:19">
      <c r="C31" s="77">
        <f>IF(OR((H31=0),(ISBLANK(H31))),"",'Sample Loading Table'!A34)</f>
        <v>8</v>
      </c>
      <c r="D31" s="77"/>
      <c r="E31" s="78">
        <f>IF(OR((H31=0),(ISBLANK(H31))),"",'Sample Loading Table'!B34)</f>
        <v>19</v>
      </c>
      <c r="F31" s="78"/>
      <c r="G31" s="78"/>
      <c r="H31" s="80">
        <f>'Sample Loading Table'!C34</f>
        <v>6.25E-2</v>
      </c>
      <c r="I31" s="80"/>
      <c r="J31" s="80"/>
      <c r="P31" s="1">
        <f t="shared" si="1"/>
        <v>20</v>
      </c>
      <c r="Q31" s="1">
        <f t="shared" ref="Q31:Q35" ca="1" si="4">IF(R30=S30,Q30+1,Q30)</f>
        <v>7</v>
      </c>
      <c r="R31" s="1">
        <f ca="1">IF(R30=S30,OFFSET('Sample Loading Table'!$E$26,Q31,0),R30)</f>
        <v>3</v>
      </c>
      <c r="S31" s="1">
        <f ca="1">COUNTIF($Q$10:Q31,Q31)</f>
        <v>2</v>
      </c>
    </row>
    <row r="32" spans="2:19">
      <c r="C32" s="77">
        <f>IF(OR((H32=0),(ISBLANK(H32))),"",'Sample Loading Table'!A35)</f>
        <v>9</v>
      </c>
      <c r="D32" s="77"/>
      <c r="E32" s="78">
        <f>IF(OR((H32=0),(ISBLANK(H32))),"",'Sample Loading Table'!B35)</f>
        <v>20</v>
      </c>
      <c r="F32" s="78"/>
      <c r="G32" s="78"/>
      <c r="H32" s="80">
        <f>'Sample Loading Table'!C35</f>
        <v>6.25E-2</v>
      </c>
      <c r="I32" s="80"/>
      <c r="J32" s="80"/>
      <c r="P32" s="1">
        <f t="shared" si="1"/>
        <v>21</v>
      </c>
      <c r="Q32" s="1">
        <f t="shared" ca="1" si="4"/>
        <v>7</v>
      </c>
      <c r="R32" s="1">
        <f ca="1">IF(R31=S31,OFFSET('Sample Loading Table'!$E$26,Q32,0),R31)</f>
        <v>3</v>
      </c>
      <c r="S32" s="1">
        <f ca="1">COUNTIF($Q$10:Q32,Q32)</f>
        <v>3</v>
      </c>
    </row>
    <row r="33" spans="3:19">
      <c r="C33" s="77">
        <f>IF(OR((H33=0),(ISBLANK(H33))),"",'Sample Loading Table'!A36)</f>
        <v>10</v>
      </c>
      <c r="D33" s="77"/>
      <c r="E33" s="78">
        <f>IF(OR((H33=0),(ISBLANK(H33))),"",'Sample Loading Table'!B36)</f>
        <v>23</v>
      </c>
      <c r="F33" s="78"/>
      <c r="G33" s="78"/>
      <c r="H33" s="80">
        <f>'Sample Loading Table'!C36</f>
        <v>6.25E-2</v>
      </c>
      <c r="I33" s="80"/>
      <c r="J33" s="80"/>
      <c r="P33" s="1">
        <f t="shared" si="1"/>
        <v>22</v>
      </c>
      <c r="Q33" s="1">
        <f t="shared" ca="1" si="4"/>
        <v>8</v>
      </c>
      <c r="R33" s="1">
        <f ca="1">IF(R32=S32,OFFSET('Sample Loading Table'!$E$26,Q33,0),R32)</f>
        <v>3</v>
      </c>
      <c r="S33" s="1">
        <f ca="1">COUNTIF($Q$10:Q33,Q33)</f>
        <v>1</v>
      </c>
    </row>
    <row r="34" spans="3:19">
      <c r="C34" s="77">
        <f>IF(OR((H34=0),(ISBLANK(H34))),"",'Sample Loading Table'!A37)</f>
        <v>11</v>
      </c>
      <c r="D34" s="77"/>
      <c r="E34" s="78">
        <f>IF(OR((H34=0),(ISBLANK(H34))),"",'Sample Loading Table'!B37)</f>
        <v>34</v>
      </c>
      <c r="F34" s="78"/>
      <c r="G34" s="78"/>
      <c r="H34" s="80">
        <f>'Sample Loading Table'!C37</f>
        <v>6.25E-2</v>
      </c>
      <c r="I34" s="80"/>
      <c r="J34" s="80"/>
      <c r="P34" s="1">
        <f t="shared" si="1"/>
        <v>23</v>
      </c>
      <c r="Q34" s="1">
        <f t="shared" ca="1" si="4"/>
        <v>8</v>
      </c>
      <c r="R34" s="1">
        <f ca="1">IF(R33=S33,OFFSET('Sample Loading Table'!$E$26,Q34,0),R33)</f>
        <v>3</v>
      </c>
      <c r="S34" s="1">
        <f ca="1">COUNTIF($Q$10:Q34,Q34)</f>
        <v>2</v>
      </c>
    </row>
    <row r="35" spans="3:19">
      <c r="C35" s="77">
        <f>IF(OR((H35=0),(ISBLANK(H35))),"",'Sample Loading Table'!A38)</f>
        <v>12</v>
      </c>
      <c r="D35" s="77"/>
      <c r="E35" s="78">
        <f>IF(OR((H35=0),(ISBLANK(H35))),"",'Sample Loading Table'!B38)</f>
        <v>35</v>
      </c>
      <c r="F35" s="78"/>
      <c r="G35" s="78"/>
      <c r="H35" s="80">
        <f>'Sample Loading Table'!C38</f>
        <v>6.25E-2</v>
      </c>
      <c r="I35" s="80"/>
      <c r="J35" s="80"/>
      <c r="P35" s="1">
        <f>P34+1</f>
        <v>24</v>
      </c>
      <c r="Q35" s="1">
        <f t="shared" ca="1" si="4"/>
        <v>8</v>
      </c>
      <c r="R35" s="1">
        <f ca="1">IF(R34=S34,OFFSET('Sample Loading Table'!$E$26,Q35,0),R34)</f>
        <v>3</v>
      </c>
      <c r="S35" s="1">
        <f ca="1">COUNTIF($Q$10:Q35,Q35)</f>
        <v>3</v>
      </c>
    </row>
    <row r="36" spans="3:19">
      <c r="C36" s="77">
        <f>IF(OR((H36=0),(ISBLANK(H36))),"",'Sample Loading Table'!A39)</f>
        <v>13</v>
      </c>
      <c r="D36" s="77"/>
      <c r="E36" s="78">
        <f>IF(OR((H36=0),(ISBLANK(H36))),"",'Sample Loading Table'!B39)</f>
        <v>39</v>
      </c>
      <c r="F36" s="78"/>
      <c r="G36" s="78"/>
      <c r="H36" s="80">
        <f>'Sample Loading Table'!C39</f>
        <v>6.25E-2</v>
      </c>
      <c r="I36" s="80"/>
      <c r="J36" s="80"/>
      <c r="P36" s="1">
        <f t="shared" si="1"/>
        <v>25</v>
      </c>
      <c r="Q36" s="1">
        <f ca="1">IF(R35=S35,Q35+1,Q35)</f>
        <v>9</v>
      </c>
      <c r="R36" s="1">
        <f ca="1">IF(R35=S35,OFFSET('Sample Loading Table'!$E$26,Q36,0),R35)</f>
        <v>3</v>
      </c>
      <c r="S36" s="1">
        <f ca="1">COUNTIF($Q$10:Q36,Q36)</f>
        <v>1</v>
      </c>
    </row>
    <row r="37" spans="3:19">
      <c r="C37" s="77">
        <f>IF(OR((H37=0),(ISBLANK(H37))),"",'Sample Loading Table'!A40)</f>
        <v>14</v>
      </c>
      <c r="D37" s="77"/>
      <c r="E37" s="78">
        <f>IF(OR((H37=0),(ISBLANK(H37))),"",'Sample Loading Table'!B40)</f>
        <v>40</v>
      </c>
      <c r="F37" s="78"/>
      <c r="G37" s="78"/>
      <c r="H37" s="80">
        <f>'Sample Loading Table'!C40</f>
        <v>6.25E-2</v>
      </c>
      <c r="I37" s="80"/>
      <c r="J37" s="80"/>
      <c r="P37" s="1">
        <f t="shared" si="1"/>
        <v>26</v>
      </c>
      <c r="Q37" s="1">
        <f t="shared" ref="Q37:Q45" ca="1" si="5">IF(R36=S36,Q36+1,Q36)</f>
        <v>9</v>
      </c>
      <c r="R37" s="1">
        <f ca="1">IF(R36=S36,OFFSET('Sample Loading Table'!$E$26,Q37,0),R36)</f>
        <v>3</v>
      </c>
      <c r="S37" s="1">
        <f ca="1">COUNTIF($Q$10:Q37,Q37)</f>
        <v>2</v>
      </c>
    </row>
    <row r="38" spans="3:19">
      <c r="C38" s="77">
        <f>IF(OR((H38=0),(ISBLANK(H38))),"",'Sample Loading Table'!A41)</f>
        <v>15</v>
      </c>
      <c r="D38" s="77"/>
      <c r="E38" s="78">
        <f>IF(OR((H38=0),(ISBLANK(H38))),"",'Sample Loading Table'!B41)</f>
        <v>41</v>
      </c>
      <c r="F38" s="78"/>
      <c r="G38" s="78"/>
      <c r="H38" s="80">
        <f>'Sample Loading Table'!C41</f>
        <v>6.25E-2</v>
      </c>
      <c r="I38" s="80"/>
      <c r="J38" s="80"/>
      <c r="P38" s="1">
        <f t="shared" si="1"/>
        <v>27</v>
      </c>
      <c r="Q38" s="1">
        <f t="shared" ca="1" si="5"/>
        <v>9</v>
      </c>
      <c r="R38" s="1">
        <f ca="1">IF(R37=S37,OFFSET('Sample Loading Table'!$E$26,Q38,0),R37)</f>
        <v>3</v>
      </c>
      <c r="S38" s="1">
        <f ca="1">COUNTIF($Q$10:Q38,Q38)</f>
        <v>3</v>
      </c>
    </row>
    <row r="39" spans="3:19">
      <c r="C39" s="77">
        <f>IF(OR((H39=0),(ISBLANK(H39))),"",'Sample Loading Table'!A42)</f>
        <v>16</v>
      </c>
      <c r="D39" s="77"/>
      <c r="E39" s="78">
        <f>IF(OR((H39=0),(ISBLANK(H39))),"",'Sample Loading Table'!B42)</f>
        <v>42</v>
      </c>
      <c r="F39" s="78"/>
      <c r="G39" s="78"/>
      <c r="H39" s="80">
        <f>'Sample Loading Table'!C42</f>
        <v>6.25E-2</v>
      </c>
      <c r="I39" s="80"/>
      <c r="J39" s="80"/>
      <c r="P39" s="1">
        <f t="shared" si="1"/>
        <v>28</v>
      </c>
      <c r="Q39" s="1">
        <f t="shared" ca="1" si="5"/>
        <v>10</v>
      </c>
      <c r="R39" s="1">
        <f ca="1">IF(R38=S38,OFFSET('Sample Loading Table'!$E$26,Q39,0),R38)</f>
        <v>3</v>
      </c>
      <c r="S39" s="1">
        <f ca="1">COUNTIF($Q$10:Q39,Q39)</f>
        <v>1</v>
      </c>
    </row>
    <row r="40" spans="3:19">
      <c r="C40" s="77" t="str">
        <f>IF(OR((H40=0),(ISBLANK(H40))),"",'Sample Loading Table'!A43)</f>
        <v/>
      </c>
      <c r="D40" s="77"/>
      <c r="E40" s="78" t="str">
        <f>IF(OR((H40=0),(ISBLANK(H40))),"",'Sample Loading Table'!B43)</f>
        <v/>
      </c>
      <c r="F40" s="78"/>
      <c r="G40" s="78"/>
      <c r="H40" s="80">
        <f>'Sample Loading Table'!C43</f>
        <v>0</v>
      </c>
      <c r="I40" s="80"/>
      <c r="J40" s="80"/>
      <c r="P40" s="1">
        <f t="shared" si="1"/>
        <v>29</v>
      </c>
      <c r="Q40" s="1">
        <f t="shared" ca="1" si="5"/>
        <v>10</v>
      </c>
      <c r="R40" s="1">
        <f ca="1">IF(R39=S39,OFFSET('Sample Loading Table'!$E$26,Q40,0),R39)</f>
        <v>3</v>
      </c>
      <c r="S40" s="1">
        <f ca="1">COUNTIF($Q$10:Q40,Q40)</f>
        <v>2</v>
      </c>
    </row>
    <row r="41" spans="3:19">
      <c r="C41" s="77" t="str">
        <f>IF(OR((H41=0),(ISBLANK(H41))),"",'Sample Loading Table'!A44)</f>
        <v/>
      </c>
      <c r="D41" s="77"/>
      <c r="E41" s="78" t="str">
        <f>IF(OR((H41=0),(ISBLANK(H41))),"",'Sample Loading Table'!B44)</f>
        <v/>
      </c>
      <c r="F41" s="78"/>
      <c r="G41" s="78"/>
      <c r="H41" s="80">
        <f>'Sample Loading Table'!C44</f>
        <v>0</v>
      </c>
      <c r="I41" s="80"/>
      <c r="J41" s="80"/>
      <c r="P41" s="1">
        <f t="shared" si="1"/>
        <v>30</v>
      </c>
      <c r="Q41" s="1">
        <f t="shared" ca="1" si="5"/>
        <v>10</v>
      </c>
      <c r="R41" s="1">
        <f ca="1">IF(R40=S40,OFFSET('Sample Loading Table'!$E$26,Q41,0),R40)</f>
        <v>3</v>
      </c>
      <c r="S41" s="1">
        <f ca="1">COUNTIF($Q$10:Q41,Q41)</f>
        <v>3</v>
      </c>
    </row>
    <row r="42" spans="3:19">
      <c r="C42" s="77" t="str">
        <f>IF(OR((H42=0),(ISBLANK(H42))),"",'Sample Loading Table'!A45)</f>
        <v/>
      </c>
      <c r="D42" s="77"/>
      <c r="E42" s="78" t="str">
        <f>IF(OR((H42=0),(ISBLANK(H42))),"",'Sample Loading Table'!B45)</f>
        <v/>
      </c>
      <c r="F42" s="78"/>
      <c r="G42" s="78"/>
      <c r="H42" s="80">
        <f>'Sample Loading Table'!C45</f>
        <v>0</v>
      </c>
      <c r="I42" s="80"/>
      <c r="J42" s="80"/>
      <c r="P42" s="1">
        <f t="shared" si="1"/>
        <v>31</v>
      </c>
      <c r="Q42" s="1">
        <f t="shared" ca="1" si="5"/>
        <v>11</v>
      </c>
      <c r="R42" s="1">
        <f ca="1">IF(R41=S41,OFFSET('Sample Loading Table'!$E$26,Q42,0),R41)</f>
        <v>3</v>
      </c>
      <c r="S42" s="1">
        <f ca="1">COUNTIF($Q$10:Q42,Q42)</f>
        <v>1</v>
      </c>
    </row>
    <row r="43" spans="3:19">
      <c r="C43" s="77" t="str">
        <f>IF(OR((H43=0),(ISBLANK(H43))),"",'Sample Loading Table'!A46)</f>
        <v/>
      </c>
      <c r="D43" s="77"/>
      <c r="E43" s="78" t="str">
        <f>IF(OR((H43=0),(ISBLANK(H43))),"",'Sample Loading Table'!B46)</f>
        <v/>
      </c>
      <c r="F43" s="78"/>
      <c r="G43" s="78"/>
      <c r="H43" s="80">
        <f>'Sample Loading Table'!C46</f>
        <v>0</v>
      </c>
      <c r="I43" s="80"/>
      <c r="J43" s="80"/>
      <c r="P43" s="1">
        <f>P42+1</f>
        <v>32</v>
      </c>
      <c r="Q43" s="1">
        <f t="shared" ca="1" si="5"/>
        <v>11</v>
      </c>
      <c r="R43" s="1">
        <f ca="1">IF(R42=S42,OFFSET('Sample Loading Table'!$E$26,Q43,0),R42)</f>
        <v>3</v>
      </c>
      <c r="S43" s="1">
        <f ca="1">COUNTIF($Q$10:Q43,Q43)</f>
        <v>2</v>
      </c>
    </row>
    <row r="44" spans="3:19">
      <c r="C44" s="77" t="str">
        <f>IF(OR((H44=0),(ISBLANK(H44))),"",'Sample Loading Table'!A47)</f>
        <v/>
      </c>
      <c r="D44" s="77"/>
      <c r="E44" s="78" t="str">
        <f>IF(OR((H44=0),(ISBLANK(H44))),"",'Sample Loading Table'!B47)</f>
        <v/>
      </c>
      <c r="F44" s="78"/>
      <c r="G44" s="78"/>
      <c r="H44" s="80">
        <f>'Sample Loading Table'!C47</f>
        <v>0</v>
      </c>
      <c r="I44" s="80"/>
      <c r="J44" s="80"/>
      <c r="P44" s="1">
        <f t="shared" si="1"/>
        <v>33</v>
      </c>
      <c r="Q44" s="1">
        <f t="shared" ca="1" si="5"/>
        <v>11</v>
      </c>
      <c r="R44" s="1">
        <f ca="1">IF(R43=S43,OFFSET('Sample Loading Table'!$E$26,Q44,0),R43)</f>
        <v>3</v>
      </c>
      <c r="S44" s="1">
        <f ca="1">COUNTIF($Q$10:Q44,Q44)</f>
        <v>3</v>
      </c>
    </row>
    <row r="45" spans="3:19">
      <c r="C45" s="77" t="str">
        <f>IF(OR((H45=0),(ISBLANK(H45))),"",'Sample Loading Table'!A48)</f>
        <v/>
      </c>
      <c r="D45" s="77"/>
      <c r="E45" s="78" t="str">
        <f>IF(OR((H45=0),(ISBLANK(H45))),"",'Sample Loading Table'!B48)</f>
        <v/>
      </c>
      <c r="F45" s="78"/>
      <c r="G45" s="78"/>
      <c r="H45" s="80">
        <f>'Sample Loading Table'!C48</f>
        <v>0</v>
      </c>
      <c r="I45" s="80"/>
      <c r="J45" s="80"/>
      <c r="P45" s="1">
        <f t="shared" si="1"/>
        <v>34</v>
      </c>
      <c r="Q45" s="1">
        <f t="shared" ca="1" si="5"/>
        <v>12</v>
      </c>
      <c r="R45" s="1">
        <f ca="1">IF(R44=S44,OFFSET('Sample Loading Table'!$E$26,Q45,0),R44)</f>
        <v>3</v>
      </c>
      <c r="S45" s="1">
        <f ca="1">COUNTIF($Q$10:Q45,Q45)</f>
        <v>1</v>
      </c>
    </row>
    <row r="46" spans="3:19">
      <c r="C46" s="77" t="str">
        <f>IF(OR((H46=0),(ISBLANK(H46))),"",'Sample Loading Table'!A49)</f>
        <v/>
      </c>
      <c r="D46" s="77"/>
      <c r="E46" s="78" t="str">
        <f>IF(OR((H46=0),(ISBLANK(H46))),"",'Sample Loading Table'!B49)</f>
        <v/>
      </c>
      <c r="F46" s="78"/>
      <c r="G46" s="78"/>
      <c r="H46" s="80">
        <f>'Sample Loading Table'!C49</f>
        <v>0</v>
      </c>
      <c r="I46" s="80"/>
      <c r="J46" s="80"/>
      <c r="P46" s="1">
        <f t="shared" si="1"/>
        <v>35</v>
      </c>
      <c r="Q46" s="1">
        <f ca="1">IF(R45=S45,Q45+1,Q45)</f>
        <v>12</v>
      </c>
      <c r="R46" s="1">
        <f ca="1">IF(R45=S45,OFFSET('Sample Loading Table'!$E$26,Q46,0),R45)</f>
        <v>3</v>
      </c>
      <c r="S46" s="1">
        <f ca="1">COUNTIF($Q$10:Q46,Q46)</f>
        <v>2</v>
      </c>
    </row>
    <row r="47" spans="3:19">
      <c r="C47" s="77" t="str">
        <f>IF(OR((H47=0),(ISBLANK(H47))),"",'Sample Loading Table'!A50)</f>
        <v/>
      </c>
      <c r="D47" s="77"/>
      <c r="E47" s="78" t="str">
        <f>IF(OR((H47=0),(ISBLANK(H47))),"",'Sample Loading Table'!B50)</f>
        <v/>
      </c>
      <c r="F47" s="78"/>
      <c r="G47" s="78"/>
      <c r="H47" s="80">
        <f>'Sample Loading Table'!C50</f>
        <v>0</v>
      </c>
      <c r="I47" s="80"/>
      <c r="J47" s="80"/>
      <c r="P47" s="1">
        <f t="shared" si="1"/>
        <v>36</v>
      </c>
      <c r="Q47" s="1">
        <f t="shared" ref="Q47:Q53" ca="1" si="6">IF(R46=S46,Q46+1,Q46)</f>
        <v>12</v>
      </c>
      <c r="R47" s="1">
        <f ca="1">IF(R46=S46,OFFSET('Sample Loading Table'!$E$26,Q47,0),R46)</f>
        <v>3</v>
      </c>
      <c r="S47" s="1">
        <f ca="1">COUNTIF($Q$10:Q47,Q47)</f>
        <v>3</v>
      </c>
    </row>
    <row r="48" spans="3:19">
      <c r="C48" s="77" t="str">
        <f>IF(OR((H48=0),(ISBLANK(H48))),"",'Sample Loading Table'!A51)</f>
        <v/>
      </c>
      <c r="D48" s="77"/>
      <c r="E48" s="78" t="str">
        <f>IF(OR((H48=0),(ISBLANK(H48))),"",'Sample Loading Table'!B51)</f>
        <v/>
      </c>
      <c r="F48" s="78"/>
      <c r="G48" s="78"/>
      <c r="H48" s="80">
        <f>'Sample Loading Table'!C51</f>
        <v>0</v>
      </c>
      <c r="I48" s="80"/>
      <c r="J48" s="80"/>
      <c r="P48" s="1">
        <f t="shared" si="1"/>
        <v>37</v>
      </c>
      <c r="Q48" s="1">
        <f t="shared" ca="1" si="6"/>
        <v>13</v>
      </c>
      <c r="R48" s="1">
        <f ca="1">IF(R47=S47,OFFSET('Sample Loading Table'!$E$26,Q48,0),R47)</f>
        <v>3</v>
      </c>
      <c r="S48" s="1">
        <f ca="1">COUNTIF($Q$10:Q48,Q48)</f>
        <v>1</v>
      </c>
    </row>
    <row r="49" spans="3:19">
      <c r="C49" s="77" t="str">
        <f>IF(OR((H49=0),(ISBLANK(H49))),"",'Sample Loading Table'!A52)</f>
        <v/>
      </c>
      <c r="D49" s="77"/>
      <c r="E49" s="78" t="str">
        <f>IF(OR((H49=0),(ISBLANK(H49))),"",'Sample Loading Table'!B52)</f>
        <v/>
      </c>
      <c r="F49" s="78"/>
      <c r="G49" s="78"/>
      <c r="H49" s="80">
        <f>'Sample Loading Table'!C52</f>
        <v>0</v>
      </c>
      <c r="I49" s="80"/>
      <c r="J49" s="80"/>
      <c r="P49" s="1">
        <f t="shared" si="1"/>
        <v>38</v>
      </c>
      <c r="Q49" s="1">
        <f t="shared" ca="1" si="6"/>
        <v>13</v>
      </c>
      <c r="R49" s="1">
        <f ca="1">IF(R48=S48,OFFSET('Sample Loading Table'!$E$26,Q49,0),R48)</f>
        <v>3</v>
      </c>
      <c r="S49" s="1">
        <f ca="1">COUNTIF($Q$10:Q49,Q49)</f>
        <v>2</v>
      </c>
    </row>
    <row r="50" spans="3:19">
      <c r="C50" s="77" t="str">
        <f>IF(OR((H50=0),(ISBLANK(H50))),"",'Sample Loading Table'!A53)</f>
        <v/>
      </c>
      <c r="D50" s="77"/>
      <c r="E50" s="78" t="str">
        <f>IF(OR((H50=0),(ISBLANK(H50))),"",'Sample Loading Table'!B53)</f>
        <v/>
      </c>
      <c r="F50" s="78"/>
      <c r="G50" s="78"/>
      <c r="H50" s="80">
        <f>'Sample Loading Table'!C53</f>
        <v>0</v>
      </c>
      <c r="I50" s="80"/>
      <c r="J50" s="80"/>
      <c r="P50" s="1">
        <f t="shared" si="1"/>
        <v>39</v>
      </c>
      <c r="Q50" s="1">
        <f t="shared" ca="1" si="6"/>
        <v>13</v>
      </c>
      <c r="R50" s="1">
        <f ca="1">IF(R49=S49,OFFSET('Sample Loading Table'!$E$26,Q50,0),R49)</f>
        <v>3</v>
      </c>
      <c r="S50" s="1">
        <f ca="1">COUNTIF($Q$10:Q50,Q50)</f>
        <v>3</v>
      </c>
    </row>
    <row r="51" spans="3:19">
      <c r="C51" s="77" t="str">
        <f>IF(OR((H51=0),(ISBLANK(H51))),"",'Sample Loading Table'!A54)</f>
        <v/>
      </c>
      <c r="D51" s="77"/>
      <c r="E51" s="78" t="str">
        <f>IF(OR((H51=0),(ISBLANK(H51))),"",'Sample Loading Table'!B54)</f>
        <v/>
      </c>
      <c r="F51" s="78"/>
      <c r="G51" s="78"/>
      <c r="H51" s="80">
        <f>'Sample Loading Table'!C54</f>
        <v>0</v>
      </c>
      <c r="I51" s="80"/>
      <c r="J51" s="80"/>
      <c r="P51" s="1">
        <f t="shared" si="1"/>
        <v>40</v>
      </c>
      <c r="Q51" s="1">
        <f t="shared" ca="1" si="6"/>
        <v>14</v>
      </c>
      <c r="R51" s="1">
        <f ca="1">IF(R50=S50,OFFSET('Sample Loading Table'!$E$26,Q51,0),R50)</f>
        <v>3</v>
      </c>
      <c r="S51" s="1">
        <f ca="1">COUNTIF($Q$10:Q51,Q51)</f>
        <v>1</v>
      </c>
    </row>
    <row r="52" spans="3:19">
      <c r="C52" s="77" t="str">
        <f>IF(OR((H52=0),(ISBLANK(H52))),"",'Sample Loading Table'!A55)</f>
        <v/>
      </c>
      <c r="D52" s="77"/>
      <c r="E52" s="78" t="str">
        <f>IF(OR((H52=0),(ISBLANK(H52))),"",'Sample Loading Table'!B55)</f>
        <v/>
      </c>
      <c r="F52" s="78"/>
      <c r="G52" s="78"/>
      <c r="H52" s="80">
        <f>'Sample Loading Table'!C55</f>
        <v>0</v>
      </c>
      <c r="I52" s="80"/>
      <c r="J52" s="80"/>
      <c r="P52" s="1">
        <f t="shared" si="1"/>
        <v>41</v>
      </c>
      <c r="Q52" s="1">
        <f t="shared" ca="1" si="6"/>
        <v>14</v>
      </c>
      <c r="R52" s="1">
        <f ca="1">IF(R51=S51,OFFSET('Sample Loading Table'!$E$26,Q52,0),R51)</f>
        <v>3</v>
      </c>
      <c r="S52" s="1">
        <f ca="1">COUNTIF($Q$10:Q52,Q52)</f>
        <v>2</v>
      </c>
    </row>
    <row r="53" spans="3:19">
      <c r="C53" s="77" t="str">
        <f>IF(OR((H53=0),(ISBLANK(H53))),"",'Sample Loading Table'!A56)</f>
        <v/>
      </c>
      <c r="D53" s="77"/>
      <c r="E53" s="78" t="str">
        <f>IF(OR((H53=0),(ISBLANK(H53))),"",'Sample Loading Table'!B56)</f>
        <v/>
      </c>
      <c r="F53" s="78"/>
      <c r="G53" s="78"/>
      <c r="H53" s="80">
        <f>'Sample Loading Table'!C56</f>
        <v>0</v>
      </c>
      <c r="I53" s="80"/>
      <c r="J53" s="80"/>
      <c r="P53" s="1">
        <f>P52+1</f>
        <v>42</v>
      </c>
      <c r="Q53" s="1">
        <f t="shared" ca="1" si="6"/>
        <v>14</v>
      </c>
      <c r="R53" s="1">
        <f ca="1">IF(R52=S52,OFFSET('Sample Loading Table'!$E$26,Q53,0),R52)</f>
        <v>3</v>
      </c>
      <c r="S53" s="1">
        <f ca="1">COUNTIF($Q$10:Q53,Q53)</f>
        <v>3</v>
      </c>
    </row>
    <row r="54" spans="3:19">
      <c r="C54" s="77" t="str">
        <f>IF(OR((H54=0),(ISBLANK(H54))),"",'Sample Loading Table'!A57)</f>
        <v/>
      </c>
      <c r="D54" s="77"/>
      <c r="E54" s="78" t="str">
        <f>IF(OR((H54=0),(ISBLANK(H54))),"",'Sample Loading Table'!B57)</f>
        <v/>
      </c>
      <c r="F54" s="78"/>
      <c r="G54" s="78"/>
      <c r="H54" s="80">
        <f>'Sample Loading Table'!C57</f>
        <v>0</v>
      </c>
      <c r="I54" s="80"/>
      <c r="J54" s="80"/>
      <c r="P54" s="1">
        <f t="shared" si="1"/>
        <v>43</v>
      </c>
      <c r="Q54" s="1">
        <f ca="1">IF(R53=S53,Q53+1,Q53)</f>
        <v>15</v>
      </c>
      <c r="R54" s="1">
        <f ca="1">IF(R53=S53,OFFSET('Sample Loading Table'!$E$26,Q54,0),R53)</f>
        <v>3</v>
      </c>
      <c r="S54" s="1">
        <f ca="1">COUNTIF($Q$10:Q54,Q54)</f>
        <v>1</v>
      </c>
    </row>
    <row r="55" spans="3:19">
      <c r="C55" s="77" t="str">
        <f>IF(OR((H55=0),(ISBLANK(H55))),"",'Sample Loading Table'!A58)</f>
        <v/>
      </c>
      <c r="D55" s="77"/>
      <c r="E55" s="78" t="str">
        <f>IF(OR((H55=0),(ISBLANK(H55))),"",'Sample Loading Table'!B58)</f>
        <v/>
      </c>
      <c r="F55" s="78"/>
      <c r="G55" s="78"/>
      <c r="H55" s="80">
        <f>'Sample Loading Table'!C58</f>
        <v>0</v>
      </c>
      <c r="I55" s="80"/>
      <c r="J55" s="80"/>
      <c r="P55" s="1">
        <f t="shared" si="1"/>
        <v>44</v>
      </c>
      <c r="Q55" s="1">
        <f t="shared" ref="Q55:Q59" ca="1" si="7">IF(R54=S54,Q54+1,Q54)</f>
        <v>15</v>
      </c>
      <c r="R55" s="1">
        <f ca="1">IF(R54=S54,OFFSET('Sample Loading Table'!$E$26,Q55,0),R54)</f>
        <v>3</v>
      </c>
      <c r="S55" s="1">
        <f ca="1">COUNTIF($Q$10:Q55,Q55)</f>
        <v>2</v>
      </c>
    </row>
    <row r="56" spans="3:19">
      <c r="C56" s="77" t="str">
        <f>IF(OR((H56=0),(ISBLANK(H56))),"",'Sample Loading Table'!A59)</f>
        <v/>
      </c>
      <c r="D56" s="77"/>
      <c r="E56" s="78" t="str">
        <f>IF(OR((H56=0),(ISBLANK(H56))),"",'Sample Loading Table'!B59)</f>
        <v/>
      </c>
      <c r="F56" s="78"/>
      <c r="G56" s="78"/>
      <c r="H56" s="80">
        <f>'Sample Loading Table'!C59</f>
        <v>0</v>
      </c>
      <c r="I56" s="80"/>
      <c r="J56" s="80"/>
      <c r="P56" s="1">
        <f t="shared" si="1"/>
        <v>45</v>
      </c>
      <c r="Q56" s="1">
        <f t="shared" ca="1" si="7"/>
        <v>15</v>
      </c>
      <c r="R56" s="1">
        <f ca="1">IF(R55=S55,OFFSET('Sample Loading Table'!$E$26,Q56,0),R55)</f>
        <v>3</v>
      </c>
      <c r="S56" s="1">
        <f ca="1">COUNTIF($Q$10:Q56,Q56)</f>
        <v>3</v>
      </c>
    </row>
    <row r="57" spans="3:19">
      <c r="C57" s="77" t="str">
        <f>IF(OR((H57=0),(ISBLANK(H57))),"",'Sample Loading Table'!A60)</f>
        <v/>
      </c>
      <c r="D57" s="77"/>
      <c r="E57" s="78" t="str">
        <f>IF(OR((H57=0),(ISBLANK(H57))),"",'Sample Loading Table'!B60)</f>
        <v/>
      </c>
      <c r="F57" s="78"/>
      <c r="G57" s="78"/>
      <c r="H57" s="80">
        <f>'Sample Loading Table'!C60</f>
        <v>0</v>
      </c>
      <c r="I57" s="80"/>
      <c r="J57" s="80"/>
      <c r="P57" s="1">
        <f>P56+1</f>
        <v>46</v>
      </c>
      <c r="Q57" s="1">
        <f t="shared" ca="1" si="7"/>
        <v>16</v>
      </c>
      <c r="R57" s="1">
        <f ca="1">IF(R56=S56,OFFSET('Sample Loading Table'!$E$26,Q57,0),R56)</f>
        <v>3</v>
      </c>
      <c r="S57" s="1">
        <f ca="1">COUNTIF($Q$10:Q57,Q57)</f>
        <v>1</v>
      </c>
    </row>
    <row r="58" spans="3:19">
      <c r="C58" s="77" t="str">
        <f>IF(OR((H58=0),(ISBLANK(H58))),"",'Sample Loading Table'!A61)</f>
        <v/>
      </c>
      <c r="D58" s="77"/>
      <c r="E58" s="78" t="str">
        <f>IF(OR((H58=0),(ISBLANK(H58))),"",'Sample Loading Table'!B61)</f>
        <v/>
      </c>
      <c r="F58" s="78"/>
      <c r="G58" s="78"/>
      <c r="H58" s="80">
        <f>'Sample Loading Table'!C61</f>
        <v>0</v>
      </c>
      <c r="I58" s="80"/>
      <c r="J58" s="80"/>
      <c r="P58" s="1">
        <f t="shared" si="1"/>
        <v>47</v>
      </c>
      <c r="Q58" s="1">
        <f t="shared" ca="1" si="7"/>
        <v>16</v>
      </c>
      <c r="R58" s="1">
        <f ca="1">IF(R57=S57,OFFSET('Sample Loading Table'!$E$26,Q58,0),R57)</f>
        <v>3</v>
      </c>
      <c r="S58" s="1">
        <f ca="1">COUNTIF($Q$10:Q58,Q58)</f>
        <v>2</v>
      </c>
    </row>
    <row r="59" spans="3:19">
      <c r="C59" s="77" t="str">
        <f>IF(OR((H59=0),(ISBLANK(H59))),"",'Sample Loading Table'!A62)</f>
        <v/>
      </c>
      <c r="D59" s="77"/>
      <c r="E59" s="78" t="str">
        <f>IF(OR((H59=0),(ISBLANK(H59))),"",'Sample Loading Table'!B62)</f>
        <v/>
      </c>
      <c r="F59" s="78"/>
      <c r="G59" s="78"/>
      <c r="H59" s="80">
        <f>'Sample Loading Table'!C62</f>
        <v>0</v>
      </c>
      <c r="I59" s="80"/>
      <c r="J59" s="80"/>
      <c r="P59" s="1">
        <f t="shared" si="1"/>
        <v>48</v>
      </c>
      <c r="Q59" s="1">
        <f t="shared" ca="1" si="7"/>
        <v>16</v>
      </c>
      <c r="R59" s="1">
        <f ca="1">IF(R58=S58,OFFSET('Sample Loading Table'!$E$26,Q59,0),R58)</f>
        <v>3</v>
      </c>
      <c r="S59" s="1">
        <f ca="1">COUNTIF($Q$10:Q59,Q59)</f>
        <v>3</v>
      </c>
    </row>
    <row r="60" spans="3:19">
      <c r="C60" s="77" t="str">
        <f>IF(OR((H60=0),(ISBLANK(H60))),"",'Sample Loading Table'!A63)</f>
        <v/>
      </c>
      <c r="D60" s="77"/>
      <c r="E60" s="78" t="str">
        <f>IF(OR((H60=0),(ISBLANK(H60))),"",'Sample Loading Table'!B63)</f>
        <v/>
      </c>
      <c r="F60" s="78"/>
      <c r="G60" s="78"/>
      <c r="H60" s="80">
        <f>'Sample Loading Table'!C63</f>
        <v>0</v>
      </c>
      <c r="I60" s="80"/>
      <c r="J60" s="80"/>
    </row>
    <row r="61" spans="3:19">
      <c r="C61" s="77" t="str">
        <f>IF(OR((H61=0),(ISBLANK(H61))),"",'Sample Loading Table'!A64)</f>
        <v/>
      </c>
      <c r="D61" s="77"/>
      <c r="E61" s="78" t="str">
        <f>IF(OR((H61=0),(ISBLANK(H61))),"",'Sample Loading Table'!B64)</f>
        <v/>
      </c>
      <c r="F61" s="78"/>
      <c r="G61" s="78"/>
      <c r="H61" s="80">
        <f>'Sample Loading Table'!C64</f>
        <v>0</v>
      </c>
      <c r="I61" s="80"/>
      <c r="J61" s="80"/>
    </row>
    <row r="62" spans="3:19">
      <c r="C62" s="77" t="str">
        <f>IF(OR((H62=0),(ISBLANK(H62))),"",'Sample Loading Table'!A65)</f>
        <v/>
      </c>
      <c r="D62" s="77"/>
      <c r="E62" s="78" t="str">
        <f>IF(OR((H62=0),(ISBLANK(H62))),"",'Sample Loading Table'!B65)</f>
        <v/>
      </c>
      <c r="F62" s="78"/>
      <c r="G62" s="78"/>
      <c r="H62" s="80">
        <f>'Sample Loading Table'!C65</f>
        <v>0</v>
      </c>
      <c r="I62" s="80"/>
      <c r="J62" s="80"/>
    </row>
    <row r="63" spans="3:19">
      <c r="C63" s="77" t="str">
        <f>IF(OR((H63=0),(ISBLANK(H63))),"",'Sample Loading Table'!A66)</f>
        <v/>
      </c>
      <c r="D63" s="77"/>
      <c r="E63" s="78" t="str">
        <f>IF(OR((H63=0),(ISBLANK(H63))),"",'Sample Loading Table'!B66)</f>
        <v/>
      </c>
      <c r="F63" s="78"/>
      <c r="G63" s="78"/>
      <c r="H63" s="80">
        <f>'Sample Loading Table'!C66</f>
        <v>0</v>
      </c>
      <c r="I63" s="80"/>
      <c r="J63" s="80"/>
    </row>
    <row r="64" spans="3:19">
      <c r="C64" s="77" t="str">
        <f>IF(OR((H64=0),(ISBLANK(H64))),"",'Sample Loading Table'!A67)</f>
        <v/>
      </c>
      <c r="D64" s="77"/>
      <c r="E64" s="78" t="str">
        <f>IF(OR((H64=0),(ISBLANK(H64))),"",'Sample Loading Table'!B67)</f>
        <v/>
      </c>
      <c r="F64" s="78"/>
      <c r="G64" s="78"/>
      <c r="H64" s="80">
        <f>'Sample Loading Table'!C67</f>
        <v>0</v>
      </c>
      <c r="I64" s="80"/>
      <c r="J64" s="80"/>
    </row>
    <row r="65" spans="3:10">
      <c r="C65" s="77" t="str">
        <f>IF(OR((H65=0),(ISBLANK(H65))),"",'Sample Loading Table'!A68)</f>
        <v/>
      </c>
      <c r="D65" s="77"/>
      <c r="E65" s="78" t="str">
        <f>IF(OR((H65=0),(ISBLANK(H65))),"",'Sample Loading Table'!B68)</f>
        <v/>
      </c>
      <c r="F65" s="78"/>
      <c r="G65" s="78"/>
      <c r="H65" s="80">
        <f>'Sample Loading Table'!C68</f>
        <v>0</v>
      </c>
      <c r="I65" s="80"/>
      <c r="J65" s="80"/>
    </row>
    <row r="66" spans="3:10">
      <c r="C66" s="77" t="str">
        <f>IF(OR((H66=0),(ISBLANK(H66))),"",'Sample Loading Table'!A69)</f>
        <v/>
      </c>
      <c r="D66" s="77"/>
      <c r="E66" s="78" t="str">
        <f>IF(OR((H66=0),(ISBLANK(H66))),"",'Sample Loading Table'!B69)</f>
        <v/>
      </c>
      <c r="F66" s="78"/>
      <c r="G66" s="78"/>
      <c r="H66" s="80">
        <f>'Sample Loading Table'!C69</f>
        <v>0</v>
      </c>
      <c r="I66" s="80"/>
      <c r="J66" s="80"/>
    </row>
    <row r="67" spans="3:10">
      <c r="C67" s="77" t="str">
        <f>IF(OR((H67=0),(ISBLANK(H67))),"",'Sample Loading Table'!A70)</f>
        <v/>
      </c>
      <c r="D67" s="77"/>
      <c r="E67" s="78" t="str">
        <f>IF(OR((H67=0),(ISBLANK(H67))),"",'Sample Loading Table'!B70)</f>
        <v/>
      </c>
      <c r="F67" s="78"/>
      <c r="G67" s="78"/>
      <c r="H67" s="80">
        <f>'Sample Loading Table'!C70</f>
        <v>0</v>
      </c>
      <c r="I67" s="80"/>
      <c r="J67" s="80"/>
    </row>
    <row r="68" spans="3:10">
      <c r="C68" s="77" t="str">
        <f>IF(OR((H68=0),(ISBLANK(H68))),"",'Sample Loading Table'!A71)</f>
        <v/>
      </c>
      <c r="D68" s="77"/>
      <c r="E68" s="78" t="str">
        <f>IF(OR((H68=0),(ISBLANK(H68))),"",'Sample Loading Table'!B71)</f>
        <v/>
      </c>
      <c r="F68" s="78"/>
      <c r="G68" s="78"/>
      <c r="H68" s="80">
        <f>'Sample Loading Table'!C71</f>
        <v>0</v>
      </c>
      <c r="I68" s="80"/>
      <c r="J68" s="80"/>
    </row>
    <row r="69" spans="3:10">
      <c r="C69" s="77" t="str">
        <f>IF(OR((H69=0),(ISBLANK(H69))),"",'Sample Loading Table'!A72)</f>
        <v/>
      </c>
      <c r="D69" s="77"/>
      <c r="E69" s="78" t="str">
        <f>IF(OR((H69=0),(ISBLANK(H69))),"",'Sample Loading Table'!B72)</f>
        <v/>
      </c>
      <c r="F69" s="78"/>
      <c r="G69" s="78"/>
      <c r="H69" s="80">
        <f>'Sample Loading Table'!C72</f>
        <v>0</v>
      </c>
      <c r="I69" s="80"/>
      <c r="J69" s="80"/>
    </row>
    <row r="70" spans="3:10">
      <c r="C70" s="77" t="str">
        <f>IF(OR((H70=0),(ISBLANK(H70))),"",'Sample Loading Table'!A73)</f>
        <v/>
      </c>
      <c r="D70" s="77"/>
      <c r="E70" s="78" t="str">
        <f>IF(OR((H70=0),(ISBLANK(H70))),"",'Sample Loading Table'!B73)</f>
        <v/>
      </c>
      <c r="F70" s="78"/>
      <c r="G70" s="78"/>
      <c r="H70" s="80">
        <f>'Sample Loading Table'!C73</f>
        <v>0</v>
      </c>
      <c r="I70" s="80"/>
      <c r="J70" s="80"/>
    </row>
    <row r="71" spans="3:10">
      <c r="C71" s="77" t="str">
        <f>IF(OR((H71=0),(ISBLANK(H71))),"",'Sample Loading Table'!A74)</f>
        <v/>
      </c>
      <c r="D71" s="77"/>
      <c r="E71" s="78" t="str">
        <f>IF(OR((H71=0),(ISBLANK(H71))),"",'Sample Loading Table'!B74)</f>
        <v/>
      </c>
      <c r="F71" s="78"/>
      <c r="G71" s="78"/>
      <c r="H71" s="80">
        <f>'Sample Loading Table'!C74</f>
        <v>0</v>
      </c>
      <c r="I71" s="80"/>
      <c r="J71" s="80"/>
    </row>
  </sheetData>
  <sheetProtection sheet="1" objects="1" scenarios="1" autoFilter="0"/>
  <mergeCells count="150">
    <mergeCell ref="H71:J71"/>
    <mergeCell ref="C19:N19"/>
    <mergeCell ref="C20:N20"/>
    <mergeCell ref="C21:N21"/>
    <mergeCell ref="C71:D71"/>
    <mergeCell ref="E71:G71"/>
    <mergeCell ref="H23:J23"/>
    <mergeCell ref="H24:J24"/>
    <mergeCell ref="H25:J25"/>
    <mergeCell ref="H26:J26"/>
    <mergeCell ref="H27:J27"/>
    <mergeCell ref="H28:J28"/>
    <mergeCell ref="H29:J29"/>
    <mergeCell ref="H30:J30"/>
    <mergeCell ref="H31:J31"/>
    <mergeCell ref="H32:J32"/>
    <mergeCell ref="H33:J33"/>
    <mergeCell ref="H34:J34"/>
    <mergeCell ref="H35:J35"/>
    <mergeCell ref="C69:D69"/>
    <mergeCell ref="E69:G69"/>
    <mergeCell ref="C70:D70"/>
    <mergeCell ref="E70:G70"/>
    <mergeCell ref="H69:J69"/>
    <mergeCell ref="H70:J70"/>
    <mergeCell ref="C67:D67"/>
    <mergeCell ref="E67:G67"/>
    <mergeCell ref="C68:D68"/>
    <mergeCell ref="E68:G68"/>
    <mergeCell ref="H67:J67"/>
    <mergeCell ref="H68:J68"/>
    <mergeCell ref="C65:D65"/>
    <mergeCell ref="E65:G65"/>
    <mergeCell ref="C66:D66"/>
    <mergeCell ref="E66:G66"/>
    <mergeCell ref="H65:J65"/>
    <mergeCell ref="H66:J66"/>
    <mergeCell ref="C63:D63"/>
    <mergeCell ref="E63:G63"/>
    <mergeCell ref="C64:D64"/>
    <mergeCell ref="E64:G64"/>
    <mergeCell ref="H63:J63"/>
    <mergeCell ref="H64:J64"/>
    <mergeCell ref="C61:D61"/>
    <mergeCell ref="E61:G61"/>
    <mergeCell ref="C62:D62"/>
    <mergeCell ref="E62:G62"/>
    <mergeCell ref="H61:J61"/>
    <mergeCell ref="H62:J62"/>
    <mergeCell ref="C59:D59"/>
    <mergeCell ref="E59:G59"/>
    <mergeCell ref="C60:D60"/>
    <mergeCell ref="E60:G60"/>
    <mergeCell ref="H59:J59"/>
    <mergeCell ref="H60:J60"/>
    <mergeCell ref="C57:D57"/>
    <mergeCell ref="E57:G57"/>
    <mergeCell ref="C58:D58"/>
    <mergeCell ref="E58:G58"/>
    <mergeCell ref="H57:J57"/>
    <mergeCell ref="H58:J58"/>
    <mergeCell ref="C55:D55"/>
    <mergeCell ref="E55:G55"/>
    <mergeCell ref="C56:D56"/>
    <mergeCell ref="E56:G56"/>
    <mergeCell ref="H55:J55"/>
    <mergeCell ref="H56:J56"/>
    <mergeCell ref="C53:D53"/>
    <mergeCell ref="E53:G53"/>
    <mergeCell ref="C54:D54"/>
    <mergeCell ref="E54:G54"/>
    <mergeCell ref="H53:J53"/>
    <mergeCell ref="H54:J54"/>
    <mergeCell ref="C51:D51"/>
    <mergeCell ref="E51:G51"/>
    <mergeCell ref="C52:D52"/>
    <mergeCell ref="E52:G52"/>
    <mergeCell ref="H51:J51"/>
    <mergeCell ref="H52:J52"/>
    <mergeCell ref="C49:D49"/>
    <mergeCell ref="E49:G49"/>
    <mergeCell ref="C50:D50"/>
    <mergeCell ref="E50:G50"/>
    <mergeCell ref="H49:J49"/>
    <mergeCell ref="H50:J50"/>
    <mergeCell ref="C47:D47"/>
    <mergeCell ref="E47:G47"/>
    <mergeCell ref="C48:D48"/>
    <mergeCell ref="E48:G48"/>
    <mergeCell ref="H47:J47"/>
    <mergeCell ref="H48:J48"/>
    <mergeCell ref="C45:D45"/>
    <mergeCell ref="E45:G45"/>
    <mergeCell ref="C46:D46"/>
    <mergeCell ref="E46:G46"/>
    <mergeCell ref="H45:J45"/>
    <mergeCell ref="H46:J46"/>
    <mergeCell ref="C43:D43"/>
    <mergeCell ref="E43:G43"/>
    <mergeCell ref="C44:D44"/>
    <mergeCell ref="E44:G44"/>
    <mergeCell ref="H43:J43"/>
    <mergeCell ref="H44:J44"/>
    <mergeCell ref="C41:D41"/>
    <mergeCell ref="E41:G41"/>
    <mergeCell ref="C42:D42"/>
    <mergeCell ref="E42:G42"/>
    <mergeCell ref="H41:J41"/>
    <mergeCell ref="H42:J42"/>
    <mergeCell ref="C39:D39"/>
    <mergeCell ref="E39:G39"/>
    <mergeCell ref="C40:D40"/>
    <mergeCell ref="E40:G40"/>
    <mergeCell ref="H39:J39"/>
    <mergeCell ref="H40:J40"/>
    <mergeCell ref="C37:D37"/>
    <mergeCell ref="E37:G37"/>
    <mergeCell ref="C38:D38"/>
    <mergeCell ref="E38:G38"/>
    <mergeCell ref="H37:J37"/>
    <mergeCell ref="H38:J38"/>
    <mergeCell ref="C35:D35"/>
    <mergeCell ref="E35:G35"/>
    <mergeCell ref="C36:D36"/>
    <mergeCell ref="E36:G36"/>
    <mergeCell ref="H36:J36"/>
    <mergeCell ref="C33:D33"/>
    <mergeCell ref="E33:G33"/>
    <mergeCell ref="C34:D34"/>
    <mergeCell ref="E34:G34"/>
    <mergeCell ref="C32:D32"/>
    <mergeCell ref="E32:G32"/>
    <mergeCell ref="C29:D29"/>
    <mergeCell ref="E29:G29"/>
    <mergeCell ref="C30:D30"/>
    <mergeCell ref="E30:G30"/>
    <mergeCell ref="C27:D27"/>
    <mergeCell ref="E27:G27"/>
    <mergeCell ref="C28:D28"/>
    <mergeCell ref="E28:G28"/>
    <mergeCell ref="C25:D25"/>
    <mergeCell ref="E25:G25"/>
    <mergeCell ref="C26:D26"/>
    <mergeCell ref="E26:G26"/>
    <mergeCell ref="C23:D23"/>
    <mergeCell ref="E23:G23"/>
    <mergeCell ref="C24:D24"/>
    <mergeCell ref="E24:G24"/>
    <mergeCell ref="C31:D31"/>
    <mergeCell ref="E31:G31"/>
  </mergeCells>
  <conditionalFormatting sqref="C10:N13">
    <cfRule type="colorScale" priority="11">
      <colorScale>
        <cfvo type="min"/>
        <cfvo type="percent" val="50"/>
        <cfvo type="max"/>
        <color rgb="FFAB80C4"/>
        <color theme="0"/>
        <color rgb="FFDB80BE"/>
      </colorScale>
    </cfRule>
  </conditionalFormatting>
  <conditionalFormatting sqref="P9:S60">
    <cfRule type="notContainsBlanks" dxfId="15" priority="23">
      <formula>LEN(TRIM(P9))&gt;0</formula>
    </cfRule>
  </conditionalFormatting>
  <conditionalFormatting sqref="H24:H71">
    <cfRule type="cellIs" dxfId="14" priority="20" operator="equal">
      <formula>0</formula>
    </cfRule>
  </conditionalFormatting>
  <conditionalFormatting sqref="E24:G71">
    <cfRule type="cellIs" dxfId="13" priority="19" operator="equal">
      <formula>0</formula>
    </cfRule>
  </conditionalFormatting>
  <conditionalFormatting sqref="H24:J71">
    <cfRule type="cellIs" dxfId="12" priority="18" operator="greaterThan">
      <formula>0</formula>
    </cfRule>
  </conditionalFormatting>
  <conditionalFormatting sqref="E24:G71">
    <cfRule type="notContainsBlanks" dxfId="11" priority="28">
      <formula>LEN(TRIM(E24))&gt;0</formula>
    </cfRule>
  </conditionalFormatting>
  <conditionalFormatting sqref="C24:D71">
    <cfRule type="colorScale" priority="2">
      <colorScale>
        <cfvo type="min"/>
        <cfvo type="percentile" val="50"/>
        <cfvo type="max"/>
        <color rgb="FFAB80C4"/>
        <color theme="0"/>
        <color rgb="FFDB80BE"/>
      </colorScale>
    </cfRule>
    <cfRule type="notContainsBlanks" dxfId="10" priority="16">
      <formula>LEN(TRIM(C24))&gt;0</formula>
    </cfRule>
  </conditionalFormatting>
  <conditionalFormatting sqref="C19:N21">
    <cfRule type="cellIs" dxfId="9" priority="15" operator="equal">
      <formula>0</formula>
    </cfRule>
    <cfRule type="expression" dxfId="8" priority="29">
      <formula>$C$21="Please address the warning message on the Sample Loading Table to avoid experimental error"</formula>
    </cfRule>
  </conditionalFormatting>
  <conditionalFormatting sqref="C10:N10">
    <cfRule type="expression" dxfId="7" priority="9">
      <formula>COUNTIF($C$10:D$10,D$10)=1</formula>
    </cfRule>
  </conditionalFormatting>
  <conditionalFormatting sqref="C11:N11">
    <cfRule type="expression" dxfId="6" priority="6">
      <formula>COUNTIF($C$11:D$11,D$11)&lt;&gt;1</formula>
    </cfRule>
    <cfRule type="expression" dxfId="5" priority="8">
      <formula>COUNTIF($C$11:D$11,D$11)=1</formula>
    </cfRule>
  </conditionalFormatting>
  <conditionalFormatting sqref="C12:N12">
    <cfRule type="expression" dxfId="4" priority="5">
      <formula>COUNTIF($C$12:D$12,D$12)&lt;&gt;1</formula>
    </cfRule>
    <cfRule type="expression" dxfId="3" priority="7">
      <formula>COUNTIF($C$12:D$12,D$12)=1</formula>
    </cfRule>
  </conditionalFormatting>
  <conditionalFormatting sqref="C13:N13">
    <cfRule type="expression" dxfId="2" priority="3">
      <formula>COUNTIF($C$13:D$13,D$13)&lt;&gt;1</formula>
    </cfRule>
    <cfRule type="expression" dxfId="1" priority="4">
      <formula>COUNTIF($C$13:D$13,D$13)=1</formula>
    </cfRule>
  </conditionalFormatting>
  <conditionalFormatting sqref="E23:G23">
    <cfRule type="cellIs" dxfId="0" priority="1" operator="equal">
      <formula>0</formula>
    </cfRule>
  </conditionalFormatting>
  <pageMargins left="0.7" right="1.2506313131313131" top="0.75" bottom="0.75" header="0.3" footer="0.3"/>
  <pageSetup scale="39" orientation="portrait" r:id="rId1"/>
  <headerFooter>
    <oddHeader>&amp;L&amp;"M PLUS 2,Regular"&amp;K525252Parse Biosciences
700 Dexter Ave
Suite 600
Seattle, WA 98109&amp;C&amp;G&amp;R&amp;"M PLUS 2,Regular"&amp;12&amp;K525252Support Suite:  support.parsebiosciences.com
Email: support@parsebiosciences.com
WT  - Version 2.0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CC41-F0BA-482F-8B64-D9B74A51CC1E}">
  <sheetPr codeName="Sheet6"/>
  <dimension ref="A1:H48"/>
  <sheetViews>
    <sheetView workbookViewId="0">
      <selection activeCell="I12" sqref="I12"/>
    </sheetView>
  </sheetViews>
  <sheetFormatPr defaultColWidth="8.85546875" defaultRowHeight="15"/>
  <sheetData>
    <row r="1" spans="1:8">
      <c r="A1">
        <f>VLOOKUP(ReferenceTable!C23,ReferenceTable!C1:D48,2,FALSE)</f>
        <v>2</v>
      </c>
      <c r="C1">
        <v>1</v>
      </c>
      <c r="G1">
        <f>'Sample Loading Table'!C23</f>
        <v>16</v>
      </c>
      <c r="H1">
        <f>VLOOKUP(G1,ReferenceTable!C1:D48,2,FALSE)</f>
        <v>16</v>
      </c>
    </row>
    <row r="2" spans="1:8">
      <c r="C2">
        <f>C1+1</f>
        <v>2</v>
      </c>
      <c r="D2">
        <v>2</v>
      </c>
      <c r="G2">
        <v>5</v>
      </c>
    </row>
    <row r="3" spans="1:8">
      <c r="C3">
        <f t="shared" ref="C3:C48" si="0">C2+1</f>
        <v>3</v>
      </c>
      <c r="D3">
        <v>3</v>
      </c>
      <c r="G3">
        <v>6</v>
      </c>
    </row>
    <row r="4" spans="1:8">
      <c r="C4">
        <f t="shared" si="0"/>
        <v>4</v>
      </c>
      <c r="D4">
        <v>4</v>
      </c>
    </row>
    <row r="5" spans="1:8">
      <c r="C5">
        <f t="shared" si="0"/>
        <v>5</v>
      </c>
      <c r="D5">
        <v>3</v>
      </c>
    </row>
    <row r="6" spans="1:8">
      <c r="C6">
        <f t="shared" si="0"/>
        <v>6</v>
      </c>
      <c r="D6">
        <v>6</v>
      </c>
    </row>
    <row r="7" spans="1:8">
      <c r="C7">
        <f t="shared" si="0"/>
        <v>7</v>
      </c>
      <c r="D7">
        <v>7</v>
      </c>
    </row>
    <row r="8" spans="1:8">
      <c r="C8">
        <f t="shared" si="0"/>
        <v>8</v>
      </c>
      <c r="D8">
        <v>8</v>
      </c>
    </row>
    <row r="9" spans="1:8">
      <c r="C9">
        <f t="shared" si="0"/>
        <v>9</v>
      </c>
      <c r="D9">
        <v>3</v>
      </c>
    </row>
    <row r="10" spans="1:8">
      <c r="C10">
        <f t="shared" si="0"/>
        <v>10</v>
      </c>
      <c r="D10">
        <v>8</v>
      </c>
    </row>
    <row r="11" spans="1:8">
      <c r="C11">
        <f t="shared" si="0"/>
        <v>11</v>
      </c>
      <c r="D11">
        <v>4</v>
      </c>
    </row>
    <row r="12" spans="1:8">
      <c r="C12">
        <f t="shared" si="0"/>
        <v>12</v>
      </c>
      <c r="D12">
        <v>12</v>
      </c>
    </row>
    <row r="13" spans="1:8">
      <c r="C13">
        <f t="shared" si="0"/>
        <v>13</v>
      </c>
      <c r="D13">
        <v>9</v>
      </c>
    </row>
    <row r="14" spans="1:8">
      <c r="C14">
        <f t="shared" si="0"/>
        <v>14</v>
      </c>
      <c r="D14">
        <v>6</v>
      </c>
    </row>
    <row r="15" spans="1:8">
      <c r="C15">
        <f t="shared" si="0"/>
        <v>15</v>
      </c>
      <c r="D15">
        <v>3</v>
      </c>
    </row>
    <row r="16" spans="1:8">
      <c r="C16">
        <f t="shared" si="0"/>
        <v>16</v>
      </c>
      <c r="D16">
        <v>16</v>
      </c>
    </row>
    <row r="17" spans="3:4">
      <c r="C17">
        <f t="shared" si="0"/>
        <v>17</v>
      </c>
      <c r="D17">
        <v>14</v>
      </c>
    </row>
    <row r="18" spans="3:4">
      <c r="C18">
        <f t="shared" si="0"/>
        <v>18</v>
      </c>
      <c r="D18">
        <v>12</v>
      </c>
    </row>
    <row r="19" spans="3:4">
      <c r="C19">
        <f t="shared" si="0"/>
        <v>19</v>
      </c>
      <c r="D19">
        <v>10</v>
      </c>
    </row>
    <row r="20" spans="3:4">
      <c r="C20">
        <f t="shared" si="0"/>
        <v>20</v>
      </c>
      <c r="D20">
        <v>8</v>
      </c>
    </row>
    <row r="21" spans="3:4">
      <c r="C21">
        <f t="shared" si="0"/>
        <v>21</v>
      </c>
      <c r="D21">
        <v>6</v>
      </c>
    </row>
    <row r="22" spans="3:4">
      <c r="C22">
        <f t="shared" si="0"/>
        <v>22</v>
      </c>
      <c r="D22">
        <v>4</v>
      </c>
    </row>
    <row r="23" spans="3:4">
      <c r="C23">
        <f t="shared" si="0"/>
        <v>23</v>
      </c>
      <c r="D23">
        <v>2</v>
      </c>
    </row>
    <row r="24" spans="3:4">
      <c r="C24">
        <f t="shared" si="0"/>
        <v>24</v>
      </c>
      <c r="D24">
        <v>24</v>
      </c>
    </row>
    <row r="25" spans="3:4">
      <c r="C25">
        <f t="shared" si="0"/>
        <v>25</v>
      </c>
      <c r="D25">
        <f>(((48/C25)-1)*C25)</f>
        <v>23</v>
      </c>
    </row>
    <row r="26" spans="3:4">
      <c r="C26">
        <f t="shared" si="0"/>
        <v>26</v>
      </c>
      <c r="D26">
        <f t="shared" ref="D26:D48" si="1">(((48/C26)-1)*C26)</f>
        <v>22.000000000000004</v>
      </c>
    </row>
    <row r="27" spans="3:4">
      <c r="C27">
        <f t="shared" si="0"/>
        <v>27</v>
      </c>
      <c r="D27">
        <f t="shared" si="1"/>
        <v>20.999999999999996</v>
      </c>
    </row>
    <row r="28" spans="3:4">
      <c r="C28">
        <f t="shared" si="0"/>
        <v>28</v>
      </c>
      <c r="D28">
        <f t="shared" si="1"/>
        <v>19.999999999999996</v>
      </c>
    </row>
    <row r="29" spans="3:4">
      <c r="C29">
        <f t="shared" si="0"/>
        <v>29</v>
      </c>
      <c r="D29">
        <f t="shared" si="1"/>
        <v>19</v>
      </c>
    </row>
    <row r="30" spans="3:4">
      <c r="C30">
        <f t="shared" si="0"/>
        <v>30</v>
      </c>
      <c r="D30">
        <f t="shared" si="1"/>
        <v>18.000000000000004</v>
      </c>
    </row>
    <row r="31" spans="3:4">
      <c r="C31">
        <f t="shared" si="0"/>
        <v>31</v>
      </c>
      <c r="D31">
        <f t="shared" si="1"/>
        <v>17</v>
      </c>
    </row>
    <row r="32" spans="3:4">
      <c r="C32">
        <f t="shared" si="0"/>
        <v>32</v>
      </c>
      <c r="D32">
        <f t="shared" si="1"/>
        <v>16</v>
      </c>
    </row>
    <row r="33" spans="3:4">
      <c r="C33">
        <f t="shared" si="0"/>
        <v>33</v>
      </c>
      <c r="D33">
        <f t="shared" si="1"/>
        <v>15.000000000000002</v>
      </c>
    </row>
    <row r="34" spans="3:4">
      <c r="C34">
        <f t="shared" si="0"/>
        <v>34</v>
      </c>
      <c r="D34">
        <f t="shared" si="1"/>
        <v>14.000000000000004</v>
      </c>
    </row>
    <row r="35" spans="3:4">
      <c r="C35">
        <f t="shared" si="0"/>
        <v>35</v>
      </c>
      <c r="D35">
        <f t="shared" si="1"/>
        <v>13</v>
      </c>
    </row>
    <row r="36" spans="3:4">
      <c r="C36">
        <f t="shared" si="0"/>
        <v>36</v>
      </c>
      <c r="D36">
        <f t="shared" si="1"/>
        <v>11.999999999999996</v>
      </c>
    </row>
    <row r="37" spans="3:4">
      <c r="C37">
        <f t="shared" si="0"/>
        <v>37</v>
      </c>
      <c r="D37">
        <f t="shared" si="1"/>
        <v>11.000000000000004</v>
      </c>
    </row>
    <row r="38" spans="3:4">
      <c r="C38">
        <f t="shared" si="0"/>
        <v>38</v>
      </c>
      <c r="D38">
        <f t="shared" si="1"/>
        <v>9.9999999999999964</v>
      </c>
    </row>
    <row r="39" spans="3:4">
      <c r="C39">
        <f t="shared" si="0"/>
        <v>39</v>
      </c>
      <c r="D39">
        <f t="shared" si="1"/>
        <v>9.0000000000000036</v>
      </c>
    </row>
    <row r="40" spans="3:4">
      <c r="C40">
        <f t="shared" si="0"/>
        <v>40</v>
      </c>
      <c r="D40">
        <f t="shared" si="1"/>
        <v>7.9999999999999982</v>
      </c>
    </row>
    <row r="41" spans="3:4">
      <c r="C41">
        <f t="shared" si="0"/>
        <v>41</v>
      </c>
      <c r="D41">
        <f t="shared" si="1"/>
        <v>6.9999999999999973</v>
      </c>
    </row>
    <row r="42" spans="3:4">
      <c r="C42">
        <f t="shared" si="0"/>
        <v>42</v>
      </c>
      <c r="D42">
        <f t="shared" si="1"/>
        <v>5.9999999999999973</v>
      </c>
    </row>
    <row r="43" spans="3:4">
      <c r="C43">
        <f t="shared" si="0"/>
        <v>43</v>
      </c>
      <c r="D43">
        <f t="shared" si="1"/>
        <v>4.9999999999999991</v>
      </c>
    </row>
    <row r="44" spans="3:4">
      <c r="C44">
        <f t="shared" si="0"/>
        <v>44</v>
      </c>
      <c r="D44">
        <f t="shared" si="1"/>
        <v>3.9999999999999964</v>
      </c>
    </row>
    <row r="45" spans="3:4">
      <c r="C45">
        <f t="shared" si="0"/>
        <v>45</v>
      </c>
      <c r="D45">
        <f t="shared" si="1"/>
        <v>2.9999999999999991</v>
      </c>
    </row>
    <row r="46" spans="3:4">
      <c r="C46">
        <f t="shared" si="0"/>
        <v>46</v>
      </c>
      <c r="D46">
        <f t="shared" si="1"/>
        <v>1.9999999999999987</v>
      </c>
    </row>
    <row r="47" spans="3:4">
      <c r="C47">
        <f t="shared" si="0"/>
        <v>47</v>
      </c>
      <c r="D47">
        <f t="shared" si="1"/>
        <v>0.99999999999999623</v>
      </c>
    </row>
    <row r="48" spans="3:4">
      <c r="C48">
        <f t="shared" si="0"/>
        <v>48</v>
      </c>
      <c r="D48">
        <f t="shared" si="1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Sample Loading Table</vt:lpstr>
      <vt:lpstr>Plate Configuration</vt:lpstr>
      <vt:lpstr>ReferenceTable</vt:lpstr>
      <vt:lpstr>'Sample Loading Table'!Print_Area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Olesen, Kris</cp:lastModifiedBy>
  <cp:lastPrinted>2024-12-12T19:57:52Z</cp:lastPrinted>
  <dcterms:created xsi:type="dcterms:W3CDTF">2018-08-04T04:20:23Z</dcterms:created>
  <dcterms:modified xsi:type="dcterms:W3CDTF">2025-09-11T20:35:18Z</dcterms:modified>
</cp:coreProperties>
</file>